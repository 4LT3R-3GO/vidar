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PyProjects\BPR\tmp\"/>
    </mc:Choice>
  </mc:AlternateContent>
  <xr:revisionPtr revIDLastSave="0" documentId="13_ncr:1_{58AE8952-88C1-4FCB-A56F-9C29F3BDDA7B}" xr6:coauthVersionLast="47" xr6:coauthVersionMax="47" xr10:uidLastSave="{00000000-0000-0000-0000-000000000000}"/>
  <bookViews>
    <workbookView xWindow="-110" yWindow="-110" windowWidth="38620" windowHeight="21100" xr2:uid="{8C1CC448-A174-490F-9B19-E262D9B12AE0}"/>
  </bookViews>
  <sheets>
    <sheet name="Eval_Stage" sheetId="1" r:id="rId1"/>
    <sheet name="Sheet5" sheetId="5" r:id="rId2"/>
    <sheet name="RSE group agent" sheetId="2" r:id="rId3"/>
    <sheet name="Sheet3" sheetId="3" r:id="rId4"/>
    <sheet name="Final_metrics" sheetId="6" r:id="rId5"/>
    <sheet name="total_rows 11_2" sheetId="7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6" l="1"/>
  <c r="H11" i="6"/>
  <c r="H12" i="6"/>
  <c r="H13" i="6"/>
  <c r="H14" i="6"/>
  <c r="I10" i="6"/>
  <c r="I11" i="6"/>
  <c r="I12" i="6"/>
  <c r="I13" i="6"/>
  <c r="I14" i="6"/>
  <c r="M11" i="6"/>
  <c r="M12" i="6"/>
  <c r="M13" i="6"/>
  <c r="M14" i="6"/>
  <c r="M10" i="6"/>
  <c r="J11" i="6"/>
  <c r="J12" i="6"/>
  <c r="J13" i="6"/>
  <c r="J14" i="6"/>
  <c r="J10" i="6"/>
  <c r="L11" i="6"/>
  <c r="L12" i="6"/>
  <c r="L13" i="6"/>
  <c r="L14" i="6"/>
  <c r="L10" i="6"/>
  <c r="K13" i="6"/>
  <c r="K11" i="6"/>
  <c r="K12" i="6"/>
  <c r="K14" i="6"/>
  <c r="K10" i="6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I19" i="6"/>
  <c r="I20" i="6"/>
  <c r="I21" i="6"/>
  <c r="I22" i="6"/>
  <c r="I23" i="6"/>
  <c r="G26" i="6"/>
  <c r="G20" i="6"/>
  <c r="G21" i="6"/>
  <c r="G22" i="6"/>
  <c r="G23" i="6"/>
  <c r="G19" i="6"/>
  <c r="G8" i="7"/>
  <c r="M2" i="6"/>
  <c r="M3" i="6"/>
  <c r="M4" i="6"/>
  <c r="M5" i="6"/>
  <c r="M6" i="6"/>
  <c r="L2" i="6"/>
  <c r="L3" i="6"/>
  <c r="L4" i="6"/>
  <c r="L5" i="6"/>
  <c r="L6" i="6"/>
  <c r="J6" i="6"/>
  <c r="J5" i="6"/>
  <c r="J4" i="6"/>
  <c r="J3" i="6"/>
  <c r="J2" i="6"/>
  <c r="K6" i="6"/>
  <c r="K5" i="6"/>
  <c r="K4" i="6"/>
  <c r="K3" i="6"/>
  <c r="K2" i="6"/>
  <c r="L7" i="1"/>
  <c r="L37" i="1"/>
  <c r="L13" i="1"/>
  <c r="L28" i="1"/>
  <c r="L43" i="1"/>
  <c r="L51" i="1"/>
  <c r="L48" i="1"/>
  <c r="L22" i="1"/>
  <c r="L9" i="1"/>
  <c r="L15" i="1"/>
  <c r="L24" i="1"/>
  <c r="L30" i="1"/>
  <c r="L39" i="1"/>
  <c r="L45" i="1"/>
  <c r="L50" i="1"/>
  <c r="L14" i="1"/>
  <c r="L29" i="1"/>
  <c r="L44" i="1"/>
  <c r="L47" i="1"/>
  <c r="L18" i="1"/>
  <c r="L19" i="1"/>
  <c r="L3" i="1"/>
  <c r="L33" i="1"/>
  <c r="L4" i="1"/>
  <c r="L6" i="1"/>
  <c r="L17" i="1"/>
  <c r="L21" i="1"/>
  <c r="L26" i="1"/>
  <c r="L34" i="1"/>
  <c r="L36" i="1"/>
  <c r="L12" i="1"/>
  <c r="L27" i="1"/>
  <c r="L42" i="1"/>
  <c r="L2" i="1"/>
  <c r="L32" i="1"/>
  <c r="L16" i="1"/>
  <c r="L31" i="1"/>
  <c r="L46" i="1"/>
  <c r="L11" i="1"/>
  <c r="L41" i="1"/>
  <c r="L10" i="1"/>
  <c r="L25" i="1"/>
  <c r="L40" i="1"/>
  <c r="L8" i="1"/>
  <c r="L23" i="1"/>
  <c r="L38" i="1"/>
  <c r="L49" i="1"/>
  <c r="L5" i="1"/>
  <c r="L20" i="1"/>
  <c r="L35" i="1"/>
  <c r="O3" i="2"/>
  <c r="O4" i="2"/>
  <c r="H16" i="2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N10" i="2"/>
  <c r="G30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J26" i="1"/>
  <c r="E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B55" i="1"/>
  <c r="C55" i="1"/>
  <c r="D55" i="1"/>
  <c r="F55" i="1"/>
  <c r="G55" i="1"/>
  <c r="H55" i="1"/>
  <c r="I55" i="1"/>
  <c r="H47" i="2" l="1"/>
  <c r="G28" i="2"/>
  <c r="G26" i="2"/>
  <c r="H44" i="2"/>
  <c r="H11" i="2"/>
  <c r="G24" i="2"/>
  <c r="H25" i="2"/>
  <c r="G6" i="2"/>
  <c r="I6" i="2" s="1"/>
  <c r="H23" i="2"/>
  <c r="G36" i="2"/>
  <c r="G34" i="2"/>
  <c r="H2" i="2"/>
  <c r="H20" i="2"/>
  <c r="H39" i="2"/>
  <c r="H38" i="2"/>
  <c r="G51" i="2"/>
  <c r="H37" i="2"/>
  <c r="H4" i="2"/>
  <c r="H35" i="2"/>
  <c r="G12" i="2"/>
  <c r="H30" i="2"/>
  <c r="I30" i="2" s="1"/>
  <c r="G42" i="2"/>
  <c r="G4" i="2"/>
  <c r="I4" i="2" s="1"/>
  <c r="H21" i="2"/>
  <c r="G33" i="2"/>
  <c r="I33" i="2" s="1"/>
  <c r="H51" i="2"/>
  <c r="H19" i="2"/>
  <c r="H46" i="2"/>
  <c r="G27" i="2"/>
  <c r="I27" i="2" s="1"/>
  <c r="H45" i="2"/>
  <c r="H12" i="2"/>
  <c r="H42" i="2"/>
  <c r="G23" i="2"/>
  <c r="G22" i="2"/>
  <c r="H8" i="2"/>
  <c r="H7" i="2"/>
  <c r="G2" i="2"/>
  <c r="H36" i="2"/>
  <c r="G49" i="2"/>
  <c r="H3" i="2"/>
  <c r="G48" i="2"/>
  <c r="I48" i="2" s="1"/>
  <c r="G16" i="2"/>
  <c r="I16" i="2" s="1"/>
  <c r="G46" i="2"/>
  <c r="H32" i="2"/>
  <c r="G13" i="2"/>
  <c r="G11" i="2"/>
  <c r="I11" i="2" s="1"/>
  <c r="H27" i="2"/>
  <c r="G8" i="2"/>
  <c r="I8" i="2" s="1"/>
  <c r="G38" i="2"/>
  <c r="I38" i="2" s="1"/>
  <c r="G5" i="2"/>
  <c r="I5" i="2" s="1"/>
  <c r="G35" i="2"/>
  <c r="G32" i="2"/>
  <c r="I32" i="2" s="1"/>
  <c r="H50" i="2"/>
  <c r="H18" i="2"/>
  <c r="G29" i="2"/>
  <c r="H15" i="2"/>
  <c r="H14" i="2"/>
  <c r="H13" i="2"/>
  <c r="G25" i="2"/>
  <c r="I25" i="2" s="1"/>
  <c r="H43" i="2"/>
  <c r="H10" i="2"/>
  <c r="H41" i="2"/>
  <c r="H9" i="2"/>
  <c r="G21" i="2"/>
  <c r="H6" i="2"/>
  <c r="G19" i="2"/>
  <c r="G17" i="2"/>
  <c r="G47" i="2"/>
  <c r="I47" i="2" s="1"/>
  <c r="H33" i="2"/>
  <c r="G14" i="2"/>
  <c r="G10" i="2"/>
  <c r="G41" i="2"/>
  <c r="G7" i="2"/>
  <c r="I7" i="2" s="1"/>
  <c r="H24" i="2"/>
  <c r="G31" i="2"/>
  <c r="H49" i="2"/>
  <c r="H17" i="2"/>
  <c r="H40" i="2"/>
  <c r="G20" i="2"/>
  <c r="I20" i="2" s="1"/>
  <c r="H5" i="2"/>
  <c r="G50" i="2"/>
  <c r="G18" i="2"/>
  <c r="H34" i="2"/>
  <c r="G15" i="2"/>
  <c r="G45" i="2"/>
  <c r="H31" i="2"/>
  <c r="G44" i="2"/>
  <c r="I44" i="2" s="1"/>
  <c r="G43" i="2"/>
  <c r="H29" i="2"/>
  <c r="H28" i="2"/>
  <c r="G9" i="2"/>
  <c r="G40" i="2"/>
  <c r="H26" i="2"/>
  <c r="G39" i="2"/>
  <c r="G37" i="2"/>
  <c r="I37" i="2" s="1"/>
  <c r="H22" i="2"/>
  <c r="G3" i="2"/>
  <c r="H48" i="2"/>
  <c r="E55" i="1"/>
  <c r="J55" i="1"/>
  <c r="I39" i="2" l="1"/>
  <c r="I40" i="2"/>
  <c r="I24" i="2"/>
  <c r="I42" i="2"/>
  <c r="I22" i="2"/>
  <c r="I36" i="2"/>
  <c r="I15" i="2"/>
  <c r="I51" i="2"/>
  <c r="I18" i="2"/>
  <c r="I13" i="2"/>
  <c r="I14" i="2"/>
  <c r="I12" i="2"/>
  <c r="I41" i="2"/>
  <c r="I26" i="2"/>
  <c r="I43" i="2"/>
  <c r="I34" i="2"/>
  <c r="I10" i="2"/>
  <c r="I28" i="2"/>
  <c r="I9" i="2"/>
  <c r="I29" i="2"/>
  <c r="I45" i="2"/>
  <c r="I50" i="2"/>
  <c r="I31" i="2"/>
  <c r="I46" i="2"/>
  <c r="I17" i="2"/>
  <c r="I19" i="2"/>
  <c r="I23" i="2"/>
  <c r="I35" i="2"/>
  <c r="I49" i="2"/>
  <c r="I2" i="2"/>
  <c r="I3" i="2"/>
  <c r="I21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<sst xmlns="http://schemas.openxmlformats.org/spreadsheetml/2006/main" count="116" uniqueCount="94">
  <si>
    <t>Episode</t>
  </si>
  <si>
    <t>Total Steps</t>
  </si>
  <si>
    <t>Complexity (Cols)</t>
  </si>
  <si>
    <t>Tables Extracted</t>
  </si>
  <si>
    <t>Total Executes</t>
  </si>
  <si>
    <t>Rows Extracted</t>
  </si>
  <si>
    <t>MEAN</t>
  </si>
  <si>
    <t>Table Extract Percentage</t>
  </si>
  <si>
    <t>Row Extract Percentage</t>
  </si>
  <si>
    <t>Row Labels</t>
  </si>
  <si>
    <t>Grand Total</t>
  </si>
  <si>
    <t>Sum of Complexity (Cols)</t>
  </si>
  <si>
    <t>Structural Resolution Efficiency (SRE)</t>
  </si>
  <si>
    <t>Execution Ratio (%)</t>
  </si>
  <si>
    <t>SRE Normalized</t>
  </si>
  <si>
    <t>COLS_GROUP</t>
  </si>
  <si>
    <t>TABLES_GROUP</t>
  </si>
  <si>
    <t>Average Cols</t>
  </si>
  <si>
    <t>Average Tables</t>
  </si>
  <si>
    <t>Group</t>
  </si>
  <si>
    <t>few cols,few tables</t>
  </si>
  <si>
    <t>few cols,many tables</t>
  </si>
  <si>
    <t>many cols,few tables</t>
  </si>
  <si>
    <t>many cols,many tables</t>
  </si>
  <si>
    <t>Average of SRE Normalized</t>
  </si>
  <si>
    <t>Average of Total Steps</t>
  </si>
  <si>
    <t>Total Executes2</t>
  </si>
  <si>
    <t>Sum of Execution Ratio (%)</t>
  </si>
  <si>
    <t>Average of Total Executes</t>
  </si>
  <si>
    <t>Average of Tables Extracted</t>
  </si>
  <si>
    <t>Average of Execution Ratio (%)</t>
  </si>
  <si>
    <t>SR</t>
  </si>
  <si>
    <t>Target</t>
  </si>
  <si>
    <t>Dbms</t>
  </si>
  <si>
    <t>MySQL</t>
  </si>
  <si>
    <t>Endpoint</t>
  </si>
  <si>
    <t>bWAPP</t>
  </si>
  <si>
    <t>sqlmap total requests</t>
  </si>
  <si>
    <t>/bWAPP/sqli_1.php</t>
  </si>
  <si>
    <t>sqlmap first data</t>
  </si>
  <si>
    <t>TORJE first data</t>
  </si>
  <si>
    <t>/bWAPP/sqli_11.php</t>
  </si>
  <si>
    <t>SQLite</t>
  </si>
  <si>
    <t>TORJE Total Req</t>
  </si>
  <si>
    <t>Eff. Ratio</t>
  </si>
  <si>
    <t>Time-To-first data</t>
  </si>
  <si>
    <t>Rel Eff. Ratio impr</t>
  </si>
  <si>
    <t>Rel TTFD impo</t>
  </si>
  <si>
    <t>mysql</t>
  </si>
  <si>
    <t>sqlite</t>
  </si>
  <si>
    <t>cols</t>
  </si>
  <si>
    <t>tables</t>
  </si>
  <si>
    <t>SRE sqlmap</t>
  </si>
  <si>
    <t>sqlite2</t>
  </si>
  <si>
    <t>/bWAPP/sqli_11_2.php</t>
  </si>
  <si>
    <t>/bWAPP/sqli_1.php / F</t>
  </si>
  <si>
    <t>Sqlmap Total Packets</t>
  </si>
  <si>
    <t>Torje Total Packets</t>
  </si>
  <si>
    <t>/bWAPP/sqli_11.php / F</t>
  </si>
  <si>
    <t>Database</t>
  </si>
  <si>
    <t>Rows</t>
  </si>
  <si>
    <t>Album</t>
  </si>
  <si>
    <t>Artists</t>
  </si>
  <si>
    <t>Customer</t>
  </si>
  <si>
    <t>Employee</t>
  </si>
  <si>
    <t>FLAG</t>
  </si>
  <si>
    <t>Genre</t>
  </si>
  <si>
    <t>Invoice</t>
  </si>
  <si>
    <t>InvoiceLine</t>
  </si>
  <si>
    <t>MediaType</t>
  </si>
  <si>
    <t>Playlist</t>
  </si>
  <si>
    <t>PlaylistTrack</t>
  </si>
  <si>
    <t>Track</t>
  </si>
  <si>
    <t>blog</t>
  </si>
  <si>
    <t>customers</t>
  </si>
  <si>
    <t>employee_wine_lottery</t>
  </si>
  <si>
    <t>heroes</t>
  </si>
  <si>
    <t>messages</t>
  </si>
  <si>
    <t>movies</t>
  </si>
  <si>
    <t>products</t>
  </si>
  <si>
    <t>quantity_def</t>
  </si>
  <si>
    <t>roles</t>
  </si>
  <si>
    <t>secrets</t>
  </si>
  <si>
    <t>transactions</t>
  </si>
  <si>
    <t>users</t>
  </si>
  <si>
    <t>users_old</t>
  </si>
  <si>
    <t>vignere</t>
  </si>
  <si>
    <t>Total Rows</t>
  </si>
  <si>
    <t>mysql / F</t>
  </si>
  <si>
    <t>sqlite / F</t>
  </si>
  <si>
    <t xml:space="preserve"> </t>
  </si>
  <si>
    <t>SRE sqlmap (tables)</t>
  </si>
  <si>
    <t>SRE VIDAR</t>
  </si>
  <si>
    <t>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</si>
</sst>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0" fontId="0" fillId="0" borderId="0" xfId="0" applyNumberFormat="1"/>
    <xf numFmtId="10" fontId="1" fillId="0" borderId="1" xfId="0" applyNumberFormat="1" applyFont="1" applyBorder="1" applyAlignment="1">
      <alignment horizontal="right" wrapText="1"/>
    </xf>
    <xf numFmtId="0" fontId="0" fillId="0" borderId="0" xfId="0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2" fontId="1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2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left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1" fillId="0" borderId="4" xfId="0" applyFont="1" applyBorder="1" applyAlignment="1">
      <alignment wrapText="1"/>
    </xf>
    <xf numFmtId="2" fontId="1" fillId="0" borderId="5" xfId="0" applyNumberFormat="1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2" fontId="1" fillId="0" borderId="7" xfId="0" applyNumberFormat="1" applyFont="1" applyBorder="1" applyAlignment="1">
      <alignment horizontal="right" wrapText="1"/>
    </xf>
    <xf numFmtId="10" fontId="1" fillId="0" borderId="7" xfId="0" applyNumberFormat="1" applyFont="1" applyBorder="1" applyAlignment="1">
      <alignment horizontal="right" wrapText="1"/>
    </xf>
    <xf numFmtId="2" fontId="1" fillId="0" borderId="8" xfId="0" applyNumberFormat="1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0" fillId="2" borderId="9" xfId="0" applyFill="1" applyBorder="1"/>
    <xf numFmtId="0" fontId="0" fillId="0" borderId="9" xfId="0" applyBorder="1"/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General Evaluation Performance</a:t>
            </a:r>
          </a:p>
        </c:rich>
      </c:tx>
      <c:layout>
        <c:manualLayout>
          <c:xMode val="edge"/>
          <c:yMode val="edge"/>
          <c:x val="8.6015259837401811E-2"/>
          <c:y val="1.777059698478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509360929519428E-2"/>
          <c:y val="0.10634715040004057"/>
          <c:w val="0.89314508518222335"/>
          <c:h val="0.77750093167368695"/>
        </c:manualLayout>
      </c:layout>
      <c:lineChart>
        <c:grouping val="standard"/>
        <c:varyColors val="0"/>
        <c:ser>
          <c:idx val="1"/>
          <c:order val="1"/>
          <c:tx>
            <c:strRef>
              <c:f>Eval_Stage!$C$1</c:f>
              <c:strCache>
                <c:ptCount val="1"/>
                <c:pt idx="0">
                  <c:v>Columns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Eval_Stage!$A$2:$A$51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  <c:extLst xmlns:c15="http://schemas.microsoft.com/office/drawing/2012/chart"/>
            </c:numRef>
          </c:cat>
          <c:val>
            <c:numRef>
              <c:f>Eval_Stage!$C$2:$C$51</c:f>
              <c:numCache>
                <c:formatCode>General</c:formatCode>
                <c:ptCount val="50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23</c:v>
                </c:pt>
                <c:pt idx="4">
                  <c:v>4</c:v>
                </c:pt>
                <c:pt idx="5">
                  <c:v>2</c:v>
                </c:pt>
                <c:pt idx="6">
                  <c:v>16</c:v>
                </c:pt>
                <c:pt idx="7">
                  <c:v>2</c:v>
                </c:pt>
                <c:pt idx="8">
                  <c:v>11</c:v>
                </c:pt>
                <c:pt idx="9">
                  <c:v>7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23</c:v>
                </c:pt>
                <c:pt idx="19">
                  <c:v>4</c:v>
                </c:pt>
                <c:pt idx="20">
                  <c:v>2</c:v>
                </c:pt>
                <c:pt idx="21">
                  <c:v>16</c:v>
                </c:pt>
                <c:pt idx="22">
                  <c:v>2</c:v>
                </c:pt>
                <c:pt idx="23">
                  <c:v>11</c:v>
                </c:pt>
                <c:pt idx="24">
                  <c:v>22</c:v>
                </c:pt>
                <c:pt idx="25">
                  <c:v>5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7</c:v>
                </c:pt>
                <c:pt idx="30">
                  <c:v>9</c:v>
                </c:pt>
                <c:pt idx="31">
                  <c:v>4</c:v>
                </c:pt>
                <c:pt idx="32">
                  <c:v>4</c:v>
                </c:pt>
                <c:pt idx="33">
                  <c:v>23</c:v>
                </c:pt>
                <c:pt idx="34">
                  <c:v>4</c:v>
                </c:pt>
                <c:pt idx="35">
                  <c:v>2</c:v>
                </c:pt>
                <c:pt idx="36">
                  <c:v>16</c:v>
                </c:pt>
                <c:pt idx="37">
                  <c:v>2</c:v>
                </c:pt>
                <c:pt idx="38">
                  <c:v>11</c:v>
                </c:pt>
                <c:pt idx="39">
                  <c:v>7</c:v>
                </c:pt>
                <c:pt idx="40">
                  <c:v>5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7</c:v>
                </c:pt>
                <c:pt idx="45">
                  <c:v>4</c:v>
                </c:pt>
                <c:pt idx="46">
                  <c:v>2</c:v>
                </c:pt>
                <c:pt idx="47">
                  <c:v>15</c:v>
                </c:pt>
                <c:pt idx="48">
                  <c:v>4</c:v>
                </c:pt>
                <c:pt idx="49">
                  <c:v>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BB2-479E-AFBB-71AF8EBF517D}"/>
            </c:ext>
          </c:extLst>
        </c:ser>
        <c:ser>
          <c:idx val="2"/>
          <c:order val="2"/>
          <c:tx>
            <c:strRef>
              <c:f>Eval_Stage!$D$1</c:f>
              <c:strCache>
                <c:ptCount val="1"/>
                <c:pt idx="0">
                  <c:v>Tables Extracted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Eval_Stage!$A$2:$A$51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  <c:extLst xmlns:c15="http://schemas.microsoft.com/office/drawing/2012/chart"/>
            </c:numRef>
          </c:cat>
          <c:val>
            <c:numRef>
              <c:f>Eval_Stage!$D$2:$D$51</c:f>
              <c:numCache>
                <c:formatCode>General</c:formatCode>
                <c:ptCount val="50"/>
                <c:pt idx="0">
                  <c:v>9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7</c:v>
                </c:pt>
                <c:pt idx="5">
                  <c:v>3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9</c:v>
                </c:pt>
                <c:pt idx="14">
                  <c:v>7</c:v>
                </c:pt>
                <c:pt idx="15">
                  <c:v>6</c:v>
                </c:pt>
                <c:pt idx="16">
                  <c:v>8</c:v>
                </c:pt>
                <c:pt idx="17">
                  <c:v>8</c:v>
                </c:pt>
                <c:pt idx="18">
                  <c:v>2</c:v>
                </c:pt>
                <c:pt idx="19">
                  <c:v>7</c:v>
                </c:pt>
                <c:pt idx="20">
                  <c:v>3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11</c:v>
                </c:pt>
                <c:pt idx="25">
                  <c:v>4</c:v>
                </c:pt>
                <c:pt idx="26">
                  <c:v>4</c:v>
                </c:pt>
                <c:pt idx="27">
                  <c:v>6</c:v>
                </c:pt>
                <c:pt idx="28">
                  <c:v>9</c:v>
                </c:pt>
                <c:pt idx="29">
                  <c:v>7</c:v>
                </c:pt>
                <c:pt idx="30">
                  <c:v>9</c:v>
                </c:pt>
                <c:pt idx="31">
                  <c:v>9</c:v>
                </c:pt>
                <c:pt idx="32">
                  <c:v>5</c:v>
                </c:pt>
                <c:pt idx="33">
                  <c:v>2</c:v>
                </c:pt>
                <c:pt idx="34">
                  <c:v>7</c:v>
                </c:pt>
                <c:pt idx="35">
                  <c:v>3</c:v>
                </c:pt>
                <c:pt idx="36">
                  <c:v>9</c:v>
                </c:pt>
                <c:pt idx="37">
                  <c:v>9</c:v>
                </c:pt>
                <c:pt idx="38">
                  <c:v>8</c:v>
                </c:pt>
                <c:pt idx="39">
                  <c:v>5</c:v>
                </c:pt>
                <c:pt idx="40">
                  <c:v>4</c:v>
                </c:pt>
                <c:pt idx="41">
                  <c:v>4</c:v>
                </c:pt>
                <c:pt idx="42">
                  <c:v>6</c:v>
                </c:pt>
                <c:pt idx="43">
                  <c:v>9</c:v>
                </c:pt>
                <c:pt idx="44">
                  <c:v>7</c:v>
                </c:pt>
                <c:pt idx="45">
                  <c:v>6</c:v>
                </c:pt>
                <c:pt idx="46">
                  <c:v>8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BB2-479E-AFBB-71AF8EBF517D}"/>
            </c:ext>
          </c:extLst>
        </c:ser>
        <c:ser>
          <c:idx val="7"/>
          <c:order val="7"/>
          <c:tx>
            <c:strRef>
              <c:f>Eval_Stage!$I$1</c:f>
              <c:strCache>
                <c:ptCount val="1"/>
                <c:pt idx="0">
                  <c:v>Total Executes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Eval_Stage!$A$2:$A$51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Eval_Stage!$I$2:$I$51</c:f>
              <c:numCache>
                <c:formatCode>General</c:formatCode>
                <c:ptCount val="50"/>
                <c:pt idx="0">
                  <c:v>24</c:v>
                </c:pt>
                <c:pt idx="1">
                  <c:v>23</c:v>
                </c:pt>
                <c:pt idx="2">
                  <c:v>14</c:v>
                </c:pt>
                <c:pt idx="3">
                  <c:v>14</c:v>
                </c:pt>
                <c:pt idx="4">
                  <c:v>18</c:v>
                </c:pt>
                <c:pt idx="5">
                  <c:v>10</c:v>
                </c:pt>
                <c:pt idx="6">
                  <c:v>26</c:v>
                </c:pt>
                <c:pt idx="7">
                  <c:v>22</c:v>
                </c:pt>
                <c:pt idx="8">
                  <c:v>22</c:v>
                </c:pt>
                <c:pt idx="9">
                  <c:v>14</c:v>
                </c:pt>
                <c:pt idx="10">
                  <c:v>12</c:v>
                </c:pt>
                <c:pt idx="11">
                  <c:v>12</c:v>
                </c:pt>
                <c:pt idx="12">
                  <c:v>16</c:v>
                </c:pt>
                <c:pt idx="13">
                  <c:v>22</c:v>
                </c:pt>
                <c:pt idx="14">
                  <c:v>18</c:v>
                </c:pt>
                <c:pt idx="15">
                  <c:v>16</c:v>
                </c:pt>
                <c:pt idx="16">
                  <c:v>20</c:v>
                </c:pt>
                <c:pt idx="17">
                  <c:v>20</c:v>
                </c:pt>
                <c:pt idx="18">
                  <c:v>14</c:v>
                </c:pt>
                <c:pt idx="19">
                  <c:v>18</c:v>
                </c:pt>
                <c:pt idx="20">
                  <c:v>9</c:v>
                </c:pt>
                <c:pt idx="21">
                  <c:v>26</c:v>
                </c:pt>
                <c:pt idx="22">
                  <c:v>22</c:v>
                </c:pt>
                <c:pt idx="23">
                  <c:v>22</c:v>
                </c:pt>
                <c:pt idx="24">
                  <c:v>44</c:v>
                </c:pt>
                <c:pt idx="25">
                  <c:v>12</c:v>
                </c:pt>
                <c:pt idx="26">
                  <c:v>12</c:v>
                </c:pt>
                <c:pt idx="27">
                  <c:v>16</c:v>
                </c:pt>
                <c:pt idx="28">
                  <c:v>22</c:v>
                </c:pt>
                <c:pt idx="29">
                  <c:v>18</c:v>
                </c:pt>
                <c:pt idx="30">
                  <c:v>24</c:v>
                </c:pt>
                <c:pt idx="31">
                  <c:v>23</c:v>
                </c:pt>
                <c:pt idx="32">
                  <c:v>14</c:v>
                </c:pt>
                <c:pt idx="33">
                  <c:v>14</c:v>
                </c:pt>
                <c:pt idx="34">
                  <c:v>18</c:v>
                </c:pt>
                <c:pt idx="35">
                  <c:v>10</c:v>
                </c:pt>
                <c:pt idx="36">
                  <c:v>26</c:v>
                </c:pt>
                <c:pt idx="37">
                  <c:v>22</c:v>
                </c:pt>
                <c:pt idx="38">
                  <c:v>22</c:v>
                </c:pt>
                <c:pt idx="39">
                  <c:v>14</c:v>
                </c:pt>
                <c:pt idx="40">
                  <c:v>12</c:v>
                </c:pt>
                <c:pt idx="41">
                  <c:v>12</c:v>
                </c:pt>
                <c:pt idx="42">
                  <c:v>16</c:v>
                </c:pt>
                <c:pt idx="43">
                  <c:v>22</c:v>
                </c:pt>
                <c:pt idx="44">
                  <c:v>18</c:v>
                </c:pt>
                <c:pt idx="45">
                  <c:v>17</c:v>
                </c:pt>
                <c:pt idx="46">
                  <c:v>21</c:v>
                </c:pt>
                <c:pt idx="47">
                  <c:v>15</c:v>
                </c:pt>
                <c:pt idx="48">
                  <c:v>13</c:v>
                </c:pt>
                <c:pt idx="4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B2-479E-AFBB-71AF8EBF5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475567"/>
        <c:axId val="88447460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Eval_Stage!$B$1</c15:sqref>
                        </c15:formulaRef>
                      </c:ext>
                    </c:extLst>
                    <c:strCache>
                      <c:ptCount val="1"/>
                      <c:pt idx="0">
                        <c:v>Total Steps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Eval_Stage!$A$2:$A$51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Eval_Stage!$B$2:$B$51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63</c:v>
                      </c:pt>
                      <c:pt idx="1">
                        <c:v>53</c:v>
                      </c:pt>
                      <c:pt idx="2">
                        <c:v>33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77</c:v>
                      </c:pt>
                      <c:pt idx="7">
                        <c:v>50</c:v>
                      </c:pt>
                      <c:pt idx="8">
                        <c:v>62</c:v>
                      </c:pt>
                      <c:pt idx="9">
                        <c:v>39</c:v>
                      </c:pt>
                      <c:pt idx="10">
                        <c:v>30</c:v>
                      </c:pt>
                      <c:pt idx="11">
                        <c:v>25</c:v>
                      </c:pt>
                      <c:pt idx="12">
                        <c:v>37</c:v>
                      </c:pt>
                      <c:pt idx="13">
                        <c:v>50</c:v>
                      </c:pt>
                      <c:pt idx="14">
                        <c:v>49</c:v>
                      </c:pt>
                      <c:pt idx="15">
                        <c:v>38</c:v>
                      </c:pt>
                      <c:pt idx="16">
                        <c:v>47</c:v>
                      </c:pt>
                      <c:pt idx="17">
                        <c:v>47</c:v>
                      </c:pt>
                      <c:pt idx="18">
                        <c:v>58</c:v>
                      </c:pt>
                      <c:pt idx="19">
                        <c:v>43</c:v>
                      </c:pt>
                      <c:pt idx="20">
                        <c:v>20</c:v>
                      </c:pt>
                      <c:pt idx="21">
                        <c:v>77</c:v>
                      </c:pt>
                      <c:pt idx="22">
                        <c:v>50</c:v>
                      </c:pt>
                      <c:pt idx="23">
                        <c:v>62</c:v>
                      </c:pt>
                      <c:pt idx="24">
                        <c:v>100</c:v>
                      </c:pt>
                      <c:pt idx="25">
                        <c:v>30</c:v>
                      </c:pt>
                      <c:pt idx="26">
                        <c:v>25</c:v>
                      </c:pt>
                      <c:pt idx="27">
                        <c:v>37</c:v>
                      </c:pt>
                      <c:pt idx="28">
                        <c:v>50</c:v>
                      </c:pt>
                      <c:pt idx="29">
                        <c:v>49</c:v>
                      </c:pt>
                      <c:pt idx="30">
                        <c:v>63</c:v>
                      </c:pt>
                      <c:pt idx="31">
                        <c:v>53</c:v>
                      </c:pt>
                      <c:pt idx="32">
                        <c:v>33</c:v>
                      </c:pt>
                      <c:pt idx="33">
                        <c:v>56</c:v>
                      </c:pt>
                      <c:pt idx="34">
                        <c:v>41</c:v>
                      </c:pt>
                      <c:pt idx="35">
                        <c:v>22</c:v>
                      </c:pt>
                      <c:pt idx="36">
                        <c:v>77</c:v>
                      </c:pt>
                      <c:pt idx="37">
                        <c:v>50</c:v>
                      </c:pt>
                      <c:pt idx="38">
                        <c:v>62</c:v>
                      </c:pt>
                      <c:pt idx="39">
                        <c:v>39</c:v>
                      </c:pt>
                      <c:pt idx="40">
                        <c:v>30</c:v>
                      </c:pt>
                      <c:pt idx="41">
                        <c:v>25</c:v>
                      </c:pt>
                      <c:pt idx="42">
                        <c:v>37</c:v>
                      </c:pt>
                      <c:pt idx="43">
                        <c:v>50</c:v>
                      </c:pt>
                      <c:pt idx="44">
                        <c:v>49</c:v>
                      </c:pt>
                      <c:pt idx="45">
                        <c:v>39</c:v>
                      </c:pt>
                      <c:pt idx="46">
                        <c:v>45</c:v>
                      </c:pt>
                      <c:pt idx="47">
                        <c:v>51</c:v>
                      </c:pt>
                      <c:pt idx="48">
                        <c:v>28</c:v>
                      </c:pt>
                      <c:pt idx="49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BB2-479E-AFBB-71AF8EBF51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Eval_Stage!$E$1</c15:sqref>
                        </c15:formulaRef>
                      </c:ext>
                    </c:extLst>
                    <c:strCache>
                      <c:ptCount val="1"/>
                      <c:pt idx="0">
                        <c:v>Structural Resolution Efficiency (SRE)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Eval_Stage!$A$2:$A$51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Eval_Stage!$E$2:$E$51</c15:sqref>
                        </c15:formulaRef>
                      </c:ext>
                    </c:extLst>
                    <c:numCache>
                      <c:formatCode>0.00</c:formatCode>
                      <c:ptCount val="50"/>
                      <c:pt idx="0">
                        <c:v>11.25</c:v>
                      </c:pt>
                      <c:pt idx="1">
                        <c:v>9.5652173913043477</c:v>
                      </c:pt>
                      <c:pt idx="2">
                        <c:v>10</c:v>
                      </c:pt>
                      <c:pt idx="3">
                        <c:v>19.285714285714285</c:v>
                      </c:pt>
                      <c:pt idx="4">
                        <c:v>10</c:v>
                      </c:pt>
                      <c:pt idx="5">
                        <c:v>8</c:v>
                      </c:pt>
                      <c:pt idx="6">
                        <c:v>13.076923076923077</c:v>
                      </c:pt>
                      <c:pt idx="7">
                        <c:v>9.0909090909090899</c:v>
                      </c:pt>
                      <c:pt idx="8">
                        <c:v>12.272727272727273</c:v>
                      </c:pt>
                      <c:pt idx="9">
                        <c:v>12.142857142857142</c:v>
                      </c:pt>
                      <c:pt idx="10">
                        <c:v>10.833333333333332</c:v>
                      </c:pt>
                      <c:pt idx="11">
                        <c:v>8.3333333333333339</c:v>
                      </c:pt>
                      <c:pt idx="12">
                        <c:v>9.375</c:v>
                      </c:pt>
                      <c:pt idx="13">
                        <c:v>9.0909090909090899</c:v>
                      </c:pt>
                      <c:pt idx="14">
                        <c:v>11.666666666666668</c:v>
                      </c:pt>
                      <c:pt idx="15">
                        <c:v>10</c:v>
                      </c:pt>
                      <c:pt idx="16">
                        <c:v>9.5</c:v>
                      </c:pt>
                      <c:pt idx="17">
                        <c:v>9.5</c:v>
                      </c:pt>
                      <c:pt idx="18">
                        <c:v>19.285714285714285</c:v>
                      </c:pt>
                      <c:pt idx="19">
                        <c:v>10</c:v>
                      </c:pt>
                      <c:pt idx="20">
                        <c:v>8.8888888888888893</c:v>
                      </c:pt>
                      <c:pt idx="21">
                        <c:v>13.076923076923077</c:v>
                      </c:pt>
                      <c:pt idx="22">
                        <c:v>9.0909090909090899</c:v>
                      </c:pt>
                      <c:pt idx="23">
                        <c:v>12.272727272727273</c:v>
                      </c:pt>
                      <c:pt idx="24">
                        <c:v>10</c:v>
                      </c:pt>
                      <c:pt idx="25">
                        <c:v>10.833333333333332</c:v>
                      </c:pt>
                      <c:pt idx="26">
                        <c:v>8.3333333333333339</c:v>
                      </c:pt>
                      <c:pt idx="27">
                        <c:v>9.375</c:v>
                      </c:pt>
                      <c:pt idx="28">
                        <c:v>9.0909090909090899</c:v>
                      </c:pt>
                      <c:pt idx="29">
                        <c:v>11.666666666666668</c:v>
                      </c:pt>
                      <c:pt idx="30">
                        <c:v>11.25</c:v>
                      </c:pt>
                      <c:pt idx="31">
                        <c:v>9.5652173913043477</c:v>
                      </c:pt>
                      <c:pt idx="32">
                        <c:v>10</c:v>
                      </c:pt>
                      <c:pt idx="33">
                        <c:v>19.285714285714285</c:v>
                      </c:pt>
                      <c:pt idx="34">
                        <c:v>10</c:v>
                      </c:pt>
                      <c:pt idx="35">
                        <c:v>8</c:v>
                      </c:pt>
                      <c:pt idx="36">
                        <c:v>13.076923076923077</c:v>
                      </c:pt>
                      <c:pt idx="37">
                        <c:v>9.0909090909090899</c:v>
                      </c:pt>
                      <c:pt idx="38">
                        <c:v>12.272727272727273</c:v>
                      </c:pt>
                      <c:pt idx="39">
                        <c:v>12.142857142857142</c:v>
                      </c:pt>
                      <c:pt idx="40">
                        <c:v>10.833333333333332</c:v>
                      </c:pt>
                      <c:pt idx="41">
                        <c:v>8.3333333333333339</c:v>
                      </c:pt>
                      <c:pt idx="42">
                        <c:v>9.375</c:v>
                      </c:pt>
                      <c:pt idx="43">
                        <c:v>9.0909090909090899</c:v>
                      </c:pt>
                      <c:pt idx="44">
                        <c:v>11.666666666666668</c:v>
                      </c:pt>
                      <c:pt idx="45">
                        <c:v>9.4117647058823533</c:v>
                      </c:pt>
                      <c:pt idx="46">
                        <c:v>8.5714285714285712</c:v>
                      </c:pt>
                      <c:pt idx="47">
                        <c:v>15.333333333333334</c:v>
                      </c:pt>
                      <c:pt idx="48">
                        <c:v>9.2307692307692317</c:v>
                      </c:pt>
                      <c:pt idx="49">
                        <c:v>8.3333333333333339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BB2-479E-AFBB-71AF8EBF517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Eval_Stage!$F$1</c15:sqref>
                        </c15:formulaRef>
                      </c:ext>
                    </c:extLst>
                    <c:strCache>
                      <c:ptCount val="1"/>
                      <c:pt idx="0">
                        <c:v>Table Extract Percentage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Eval_Stage!$A$2:$A$51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Eval_Stage!$F$2:$F$51</c15:sqref>
                        </c15:formulaRef>
                      </c:ext>
                    </c:extLst>
                    <c:numCache>
                      <c:formatCode>0.00%</c:formatCode>
                      <c:ptCount val="5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BB2-479E-AFBB-71AF8EBF517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Eval_Stage!$G$1</c15:sqref>
                        </c15:formulaRef>
                      </c:ext>
                    </c:extLst>
                    <c:strCache>
                      <c:ptCount val="1"/>
                      <c:pt idx="0">
                        <c:v>Rows Extracted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Eval_Stage!$A$2:$A$51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Eval_Stage!$G$2:$G$51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411</c:v>
                      </c:pt>
                      <c:pt idx="1">
                        <c:v>1045</c:v>
                      </c:pt>
                      <c:pt idx="2">
                        <c:v>734</c:v>
                      </c:pt>
                      <c:pt idx="3">
                        <c:v>46</c:v>
                      </c:pt>
                      <c:pt idx="4">
                        <c:v>785</c:v>
                      </c:pt>
                      <c:pt idx="5">
                        <c:v>78</c:v>
                      </c:pt>
                      <c:pt idx="6">
                        <c:v>411</c:v>
                      </c:pt>
                      <c:pt idx="7">
                        <c:v>1073</c:v>
                      </c:pt>
                      <c:pt idx="8">
                        <c:v>1062</c:v>
                      </c:pt>
                      <c:pt idx="9">
                        <c:v>296</c:v>
                      </c:pt>
                      <c:pt idx="10">
                        <c:v>103</c:v>
                      </c:pt>
                      <c:pt idx="11">
                        <c:v>719</c:v>
                      </c:pt>
                      <c:pt idx="12">
                        <c:v>360</c:v>
                      </c:pt>
                      <c:pt idx="13">
                        <c:v>1073</c:v>
                      </c:pt>
                      <c:pt idx="14">
                        <c:v>371</c:v>
                      </c:pt>
                      <c:pt idx="15">
                        <c:v>999</c:v>
                      </c:pt>
                      <c:pt idx="16">
                        <c:v>816</c:v>
                      </c:pt>
                      <c:pt idx="17">
                        <c:v>1062</c:v>
                      </c:pt>
                      <c:pt idx="18">
                        <c:v>46</c:v>
                      </c:pt>
                      <c:pt idx="19">
                        <c:v>785</c:v>
                      </c:pt>
                      <c:pt idx="20">
                        <c:v>78</c:v>
                      </c:pt>
                      <c:pt idx="21">
                        <c:v>411</c:v>
                      </c:pt>
                      <c:pt idx="22">
                        <c:v>1073</c:v>
                      </c:pt>
                      <c:pt idx="23">
                        <c:v>1062</c:v>
                      </c:pt>
                      <c:pt idx="24">
                        <c:v>1077</c:v>
                      </c:pt>
                      <c:pt idx="25">
                        <c:v>103</c:v>
                      </c:pt>
                      <c:pt idx="26">
                        <c:v>719</c:v>
                      </c:pt>
                      <c:pt idx="27">
                        <c:v>360</c:v>
                      </c:pt>
                      <c:pt idx="28">
                        <c:v>1073</c:v>
                      </c:pt>
                      <c:pt idx="29">
                        <c:v>371</c:v>
                      </c:pt>
                      <c:pt idx="30">
                        <c:v>411</c:v>
                      </c:pt>
                      <c:pt idx="31">
                        <c:v>1045</c:v>
                      </c:pt>
                      <c:pt idx="32">
                        <c:v>734</c:v>
                      </c:pt>
                      <c:pt idx="33">
                        <c:v>46</c:v>
                      </c:pt>
                      <c:pt idx="34">
                        <c:v>785</c:v>
                      </c:pt>
                      <c:pt idx="35">
                        <c:v>78</c:v>
                      </c:pt>
                      <c:pt idx="36">
                        <c:v>411</c:v>
                      </c:pt>
                      <c:pt idx="37">
                        <c:v>1073</c:v>
                      </c:pt>
                      <c:pt idx="38">
                        <c:v>1062</c:v>
                      </c:pt>
                      <c:pt idx="39">
                        <c:v>296</c:v>
                      </c:pt>
                      <c:pt idx="40">
                        <c:v>103</c:v>
                      </c:pt>
                      <c:pt idx="41">
                        <c:v>719</c:v>
                      </c:pt>
                      <c:pt idx="42">
                        <c:v>360</c:v>
                      </c:pt>
                      <c:pt idx="43">
                        <c:v>1073</c:v>
                      </c:pt>
                      <c:pt idx="44">
                        <c:v>371</c:v>
                      </c:pt>
                      <c:pt idx="45">
                        <c:v>682</c:v>
                      </c:pt>
                      <c:pt idx="46">
                        <c:v>1036</c:v>
                      </c:pt>
                      <c:pt idx="47">
                        <c:v>80</c:v>
                      </c:pt>
                      <c:pt idx="48">
                        <c:v>299</c:v>
                      </c:pt>
                      <c:pt idx="49">
                        <c:v>719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BB2-479E-AFBB-71AF8EBF517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Eval_Stage!$H$1</c15:sqref>
                        </c15:formulaRef>
                      </c:ext>
                    </c:extLst>
                    <c:strCache>
                      <c:ptCount val="1"/>
                      <c:pt idx="0">
                        <c:v>Row Extract Percentage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Eval_Stage!$A$2:$A$51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Eval_Stage!$H$2:$H$51</c15:sqref>
                        </c15:formulaRef>
                      </c:ext>
                    </c:extLst>
                    <c:numCache>
                      <c:formatCode>0.00%</c:formatCode>
                      <c:ptCount val="5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BB2-479E-AFBB-71AF8EBF517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Eval_Stage!$J$1</c15:sqref>
                        </c15:formulaRef>
                      </c:ext>
                    </c:extLst>
                    <c:strCache>
                      <c:ptCount val="1"/>
                      <c:pt idx="0">
                        <c:v>Execution Ratio (%)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Eval_Stage!$A$2:$A$51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Eval_Stage!$J$2:$J$51</c15:sqref>
                        </c15:formulaRef>
                      </c:ext>
                    </c:extLst>
                    <c:numCache>
                      <c:formatCode>0.00%</c:formatCode>
                      <c:ptCount val="50"/>
                      <c:pt idx="0">
                        <c:v>0.38095238095238093</c:v>
                      </c:pt>
                      <c:pt idx="1">
                        <c:v>0.43396226415094341</c:v>
                      </c:pt>
                      <c:pt idx="2">
                        <c:v>0.42424242424242425</c:v>
                      </c:pt>
                      <c:pt idx="3">
                        <c:v>0.25</c:v>
                      </c:pt>
                      <c:pt idx="4">
                        <c:v>0.43902439024390244</c:v>
                      </c:pt>
                      <c:pt idx="5">
                        <c:v>0.45454545454545453</c:v>
                      </c:pt>
                      <c:pt idx="6">
                        <c:v>0.33766233766233766</c:v>
                      </c:pt>
                      <c:pt idx="7">
                        <c:v>0.44</c:v>
                      </c:pt>
                      <c:pt idx="8">
                        <c:v>0.35483870967741937</c:v>
                      </c:pt>
                      <c:pt idx="9">
                        <c:v>0.35897435897435898</c:v>
                      </c:pt>
                      <c:pt idx="10">
                        <c:v>0.4</c:v>
                      </c:pt>
                      <c:pt idx="11">
                        <c:v>0.48</c:v>
                      </c:pt>
                      <c:pt idx="12">
                        <c:v>0.43243243243243246</c:v>
                      </c:pt>
                      <c:pt idx="13">
                        <c:v>0.44</c:v>
                      </c:pt>
                      <c:pt idx="14">
                        <c:v>0.36734693877551022</c:v>
                      </c:pt>
                      <c:pt idx="15">
                        <c:v>0.42105263157894735</c:v>
                      </c:pt>
                      <c:pt idx="16">
                        <c:v>0.42553191489361702</c:v>
                      </c:pt>
                      <c:pt idx="17">
                        <c:v>0.42553191489361702</c:v>
                      </c:pt>
                      <c:pt idx="18">
                        <c:v>0.2413793103448276</c:v>
                      </c:pt>
                      <c:pt idx="19">
                        <c:v>0.41860465116279072</c:v>
                      </c:pt>
                      <c:pt idx="20">
                        <c:v>0.45</c:v>
                      </c:pt>
                      <c:pt idx="21">
                        <c:v>0.33766233766233766</c:v>
                      </c:pt>
                      <c:pt idx="22">
                        <c:v>0.44</c:v>
                      </c:pt>
                      <c:pt idx="23">
                        <c:v>0.35483870967741937</c:v>
                      </c:pt>
                      <c:pt idx="24">
                        <c:v>0.44</c:v>
                      </c:pt>
                      <c:pt idx="25">
                        <c:v>0.4</c:v>
                      </c:pt>
                      <c:pt idx="26">
                        <c:v>0.48</c:v>
                      </c:pt>
                      <c:pt idx="27">
                        <c:v>0.43243243243243246</c:v>
                      </c:pt>
                      <c:pt idx="28">
                        <c:v>0.44</c:v>
                      </c:pt>
                      <c:pt idx="29">
                        <c:v>0.36734693877551022</c:v>
                      </c:pt>
                      <c:pt idx="30">
                        <c:v>0.38095238095238093</c:v>
                      </c:pt>
                      <c:pt idx="31">
                        <c:v>0.43396226415094341</c:v>
                      </c:pt>
                      <c:pt idx="32">
                        <c:v>0.42424242424242425</c:v>
                      </c:pt>
                      <c:pt idx="33">
                        <c:v>0.25</c:v>
                      </c:pt>
                      <c:pt idx="34">
                        <c:v>0.43902439024390244</c:v>
                      </c:pt>
                      <c:pt idx="35">
                        <c:v>0.45454545454545453</c:v>
                      </c:pt>
                      <c:pt idx="36">
                        <c:v>0.33766233766233766</c:v>
                      </c:pt>
                      <c:pt idx="37">
                        <c:v>0.44</c:v>
                      </c:pt>
                      <c:pt idx="38">
                        <c:v>0.35483870967741937</c:v>
                      </c:pt>
                      <c:pt idx="39">
                        <c:v>0.35897435897435898</c:v>
                      </c:pt>
                      <c:pt idx="40">
                        <c:v>0.4</c:v>
                      </c:pt>
                      <c:pt idx="41">
                        <c:v>0.48</c:v>
                      </c:pt>
                      <c:pt idx="42">
                        <c:v>0.43243243243243246</c:v>
                      </c:pt>
                      <c:pt idx="43">
                        <c:v>0.44</c:v>
                      </c:pt>
                      <c:pt idx="44">
                        <c:v>0.36734693877551022</c:v>
                      </c:pt>
                      <c:pt idx="45">
                        <c:v>0.4358974358974359</c:v>
                      </c:pt>
                      <c:pt idx="46">
                        <c:v>0.46666666666666667</c:v>
                      </c:pt>
                      <c:pt idx="47">
                        <c:v>0.29411764705882354</c:v>
                      </c:pt>
                      <c:pt idx="48">
                        <c:v>0.4642857142857143</c:v>
                      </c:pt>
                      <c:pt idx="49">
                        <c:v>0.48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2BB2-479E-AFBB-71AF8EBF517D}"/>
                  </c:ext>
                </c:extLst>
              </c15:ser>
            </c15:filteredLineSeries>
          </c:ext>
        </c:extLst>
      </c:lineChart>
      <c:catAx>
        <c:axId val="88447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1" baseline="0"/>
                  <a:t>Episode</a:t>
                </a:r>
                <a:endParaRPr lang="en-US" sz="1400" b="1" i="1"/>
              </a:p>
            </c:rich>
          </c:tx>
          <c:layout>
            <c:manualLayout>
              <c:xMode val="edge"/>
              <c:yMode val="edge"/>
              <c:x val="0.45718349342422882"/>
              <c:y val="0.93087424340867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474607"/>
        <c:crosses val="autoZero"/>
        <c:auto val="1"/>
        <c:lblAlgn val="ctr"/>
        <c:lblOffset val="100"/>
        <c:noMultiLvlLbl val="0"/>
      </c:catAx>
      <c:valAx>
        <c:axId val="884474607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475567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6241328351205033"/>
          <c:y val="4.0908292000942731E-2"/>
          <c:w val="0.38473414060208261"/>
          <c:h val="4.6635145261383008E-2"/>
        </c:manualLayout>
      </c:layout>
      <c:overlay val="0"/>
      <c:spPr>
        <a:solidFill>
          <a:schemeClr val="bg1"/>
        </a:solidFill>
        <a:ln>
          <a:noFill/>
          <a:prstDash val="dash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Database,</a:t>
            </a:r>
            <a:r>
              <a:rPr lang="en-US" sz="2000" b="1" baseline="0"/>
              <a:t> Query Complexity and Execution Statistics </a:t>
            </a:r>
            <a:endParaRPr lang="en-US" sz="2000" b="1"/>
          </a:p>
        </c:rich>
      </c:tx>
      <c:layout>
        <c:manualLayout>
          <c:xMode val="edge"/>
          <c:yMode val="edge"/>
          <c:x val="7.0327833509715484E-2"/>
          <c:y val="4.5624271550166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05802034824011E-2"/>
          <c:y val="0.13635706201558376"/>
          <c:w val="0.94960786892625648"/>
          <c:h val="0.74695257668579418"/>
        </c:manualLayout>
      </c:layout>
      <c:lineChart>
        <c:grouping val="standard"/>
        <c:varyColors val="0"/>
        <c:ser>
          <c:idx val="1"/>
          <c:order val="0"/>
          <c:tx>
            <c:strRef>
              <c:f>Eval_Stage!$B$1</c:f>
              <c:strCache>
                <c:ptCount val="1"/>
                <c:pt idx="0">
                  <c:v>Total Steps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Eval_Stage!$B$2:$B$51</c:f>
              <c:numCache>
                <c:formatCode>General</c:formatCode>
                <c:ptCount val="50"/>
                <c:pt idx="0">
                  <c:v>63</c:v>
                </c:pt>
                <c:pt idx="1">
                  <c:v>53</c:v>
                </c:pt>
                <c:pt idx="2">
                  <c:v>33</c:v>
                </c:pt>
                <c:pt idx="3">
                  <c:v>56</c:v>
                </c:pt>
                <c:pt idx="4">
                  <c:v>41</c:v>
                </c:pt>
                <c:pt idx="5">
                  <c:v>22</c:v>
                </c:pt>
                <c:pt idx="6">
                  <c:v>77</c:v>
                </c:pt>
                <c:pt idx="7">
                  <c:v>50</c:v>
                </c:pt>
                <c:pt idx="8">
                  <c:v>62</c:v>
                </c:pt>
                <c:pt idx="9">
                  <c:v>39</c:v>
                </c:pt>
                <c:pt idx="10">
                  <c:v>30</c:v>
                </c:pt>
                <c:pt idx="11">
                  <c:v>25</c:v>
                </c:pt>
                <c:pt idx="12">
                  <c:v>37</c:v>
                </c:pt>
                <c:pt idx="13">
                  <c:v>50</c:v>
                </c:pt>
                <c:pt idx="14">
                  <c:v>49</c:v>
                </c:pt>
                <c:pt idx="15">
                  <c:v>38</c:v>
                </c:pt>
                <c:pt idx="16">
                  <c:v>47</c:v>
                </c:pt>
                <c:pt idx="17">
                  <c:v>47</c:v>
                </c:pt>
                <c:pt idx="18">
                  <c:v>58</c:v>
                </c:pt>
                <c:pt idx="19">
                  <c:v>43</c:v>
                </c:pt>
                <c:pt idx="20">
                  <c:v>20</c:v>
                </c:pt>
                <c:pt idx="21">
                  <c:v>77</c:v>
                </c:pt>
                <c:pt idx="22">
                  <c:v>50</c:v>
                </c:pt>
                <c:pt idx="23">
                  <c:v>62</c:v>
                </c:pt>
                <c:pt idx="24">
                  <c:v>100</c:v>
                </c:pt>
                <c:pt idx="25">
                  <c:v>30</c:v>
                </c:pt>
                <c:pt idx="26">
                  <c:v>25</c:v>
                </c:pt>
                <c:pt idx="27">
                  <c:v>37</c:v>
                </c:pt>
                <c:pt idx="28">
                  <c:v>50</c:v>
                </c:pt>
                <c:pt idx="29">
                  <c:v>49</c:v>
                </c:pt>
                <c:pt idx="30">
                  <c:v>63</c:v>
                </c:pt>
                <c:pt idx="31">
                  <c:v>53</c:v>
                </c:pt>
                <c:pt idx="32">
                  <c:v>33</c:v>
                </c:pt>
                <c:pt idx="33">
                  <c:v>56</c:v>
                </c:pt>
                <c:pt idx="34">
                  <c:v>41</c:v>
                </c:pt>
                <c:pt idx="35">
                  <c:v>22</c:v>
                </c:pt>
                <c:pt idx="36">
                  <c:v>77</c:v>
                </c:pt>
                <c:pt idx="37">
                  <c:v>50</c:v>
                </c:pt>
                <c:pt idx="38">
                  <c:v>62</c:v>
                </c:pt>
                <c:pt idx="39">
                  <c:v>39</c:v>
                </c:pt>
                <c:pt idx="40">
                  <c:v>30</c:v>
                </c:pt>
                <c:pt idx="41">
                  <c:v>25</c:v>
                </c:pt>
                <c:pt idx="42">
                  <c:v>37</c:v>
                </c:pt>
                <c:pt idx="43">
                  <c:v>50</c:v>
                </c:pt>
                <c:pt idx="44">
                  <c:v>49</c:v>
                </c:pt>
                <c:pt idx="45">
                  <c:v>39</c:v>
                </c:pt>
                <c:pt idx="46">
                  <c:v>45</c:v>
                </c:pt>
                <c:pt idx="47">
                  <c:v>51</c:v>
                </c:pt>
                <c:pt idx="48">
                  <c:v>28</c:v>
                </c:pt>
                <c:pt idx="4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41-41CA-BA14-67608748DEB3}"/>
            </c:ext>
          </c:extLst>
        </c:ser>
        <c:ser>
          <c:idx val="2"/>
          <c:order val="1"/>
          <c:tx>
            <c:strRef>
              <c:f>Eval_Stage!$C$1</c:f>
              <c:strCache>
                <c:ptCount val="1"/>
                <c:pt idx="0">
                  <c:v>Columns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Eval_Stage!$C$2:$C$51</c:f>
              <c:numCache>
                <c:formatCode>General</c:formatCode>
                <c:ptCount val="50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23</c:v>
                </c:pt>
                <c:pt idx="4">
                  <c:v>4</c:v>
                </c:pt>
                <c:pt idx="5">
                  <c:v>2</c:v>
                </c:pt>
                <c:pt idx="6">
                  <c:v>16</c:v>
                </c:pt>
                <c:pt idx="7">
                  <c:v>2</c:v>
                </c:pt>
                <c:pt idx="8">
                  <c:v>11</c:v>
                </c:pt>
                <c:pt idx="9">
                  <c:v>7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23</c:v>
                </c:pt>
                <c:pt idx="19">
                  <c:v>4</c:v>
                </c:pt>
                <c:pt idx="20">
                  <c:v>2</c:v>
                </c:pt>
                <c:pt idx="21">
                  <c:v>16</c:v>
                </c:pt>
                <c:pt idx="22">
                  <c:v>2</c:v>
                </c:pt>
                <c:pt idx="23">
                  <c:v>11</c:v>
                </c:pt>
                <c:pt idx="24">
                  <c:v>22</c:v>
                </c:pt>
                <c:pt idx="25">
                  <c:v>5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7</c:v>
                </c:pt>
                <c:pt idx="30">
                  <c:v>9</c:v>
                </c:pt>
                <c:pt idx="31">
                  <c:v>4</c:v>
                </c:pt>
                <c:pt idx="32">
                  <c:v>4</c:v>
                </c:pt>
                <c:pt idx="33">
                  <c:v>23</c:v>
                </c:pt>
                <c:pt idx="34">
                  <c:v>4</c:v>
                </c:pt>
                <c:pt idx="35">
                  <c:v>2</c:v>
                </c:pt>
                <c:pt idx="36">
                  <c:v>16</c:v>
                </c:pt>
                <c:pt idx="37">
                  <c:v>2</c:v>
                </c:pt>
                <c:pt idx="38">
                  <c:v>11</c:v>
                </c:pt>
                <c:pt idx="39">
                  <c:v>7</c:v>
                </c:pt>
                <c:pt idx="40">
                  <c:v>5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7</c:v>
                </c:pt>
                <c:pt idx="45">
                  <c:v>4</c:v>
                </c:pt>
                <c:pt idx="46">
                  <c:v>2</c:v>
                </c:pt>
                <c:pt idx="47">
                  <c:v>15</c:v>
                </c:pt>
                <c:pt idx="48">
                  <c:v>4</c:v>
                </c:pt>
                <c:pt idx="4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41-41CA-BA14-67608748DEB3}"/>
            </c:ext>
          </c:extLst>
        </c:ser>
        <c:ser>
          <c:idx val="3"/>
          <c:order val="2"/>
          <c:tx>
            <c:strRef>
              <c:f>Eval_Stage!$D$1</c:f>
              <c:strCache>
                <c:ptCount val="1"/>
                <c:pt idx="0">
                  <c:v>Tables Extracted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Eval_Stage!$D$2:$D$51</c:f>
              <c:numCache>
                <c:formatCode>General</c:formatCode>
                <c:ptCount val="50"/>
                <c:pt idx="0">
                  <c:v>9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7</c:v>
                </c:pt>
                <c:pt idx="5">
                  <c:v>3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9</c:v>
                </c:pt>
                <c:pt idx="14">
                  <c:v>7</c:v>
                </c:pt>
                <c:pt idx="15">
                  <c:v>6</c:v>
                </c:pt>
                <c:pt idx="16">
                  <c:v>8</c:v>
                </c:pt>
                <c:pt idx="17">
                  <c:v>8</c:v>
                </c:pt>
                <c:pt idx="18">
                  <c:v>2</c:v>
                </c:pt>
                <c:pt idx="19">
                  <c:v>7</c:v>
                </c:pt>
                <c:pt idx="20">
                  <c:v>3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11</c:v>
                </c:pt>
                <c:pt idx="25">
                  <c:v>4</c:v>
                </c:pt>
                <c:pt idx="26">
                  <c:v>4</c:v>
                </c:pt>
                <c:pt idx="27">
                  <c:v>6</c:v>
                </c:pt>
                <c:pt idx="28">
                  <c:v>9</c:v>
                </c:pt>
                <c:pt idx="29">
                  <c:v>7</c:v>
                </c:pt>
                <c:pt idx="30">
                  <c:v>9</c:v>
                </c:pt>
                <c:pt idx="31">
                  <c:v>9</c:v>
                </c:pt>
                <c:pt idx="32">
                  <c:v>5</c:v>
                </c:pt>
                <c:pt idx="33">
                  <c:v>2</c:v>
                </c:pt>
                <c:pt idx="34">
                  <c:v>7</c:v>
                </c:pt>
                <c:pt idx="35">
                  <c:v>3</c:v>
                </c:pt>
                <c:pt idx="36">
                  <c:v>9</c:v>
                </c:pt>
                <c:pt idx="37">
                  <c:v>9</c:v>
                </c:pt>
                <c:pt idx="38">
                  <c:v>8</c:v>
                </c:pt>
                <c:pt idx="39">
                  <c:v>5</c:v>
                </c:pt>
                <c:pt idx="40">
                  <c:v>4</c:v>
                </c:pt>
                <c:pt idx="41">
                  <c:v>4</c:v>
                </c:pt>
                <c:pt idx="42">
                  <c:v>6</c:v>
                </c:pt>
                <c:pt idx="43">
                  <c:v>9</c:v>
                </c:pt>
                <c:pt idx="44">
                  <c:v>7</c:v>
                </c:pt>
                <c:pt idx="45">
                  <c:v>6</c:v>
                </c:pt>
                <c:pt idx="46">
                  <c:v>8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41-41CA-BA14-67608748DEB3}"/>
            </c:ext>
          </c:extLst>
        </c:ser>
        <c:ser>
          <c:idx val="4"/>
          <c:order val="3"/>
          <c:tx>
            <c:strRef>
              <c:f>Eval_Stage!$E$1</c:f>
              <c:strCache>
                <c:ptCount val="1"/>
                <c:pt idx="0">
                  <c:v>Structural Resolution Efficiency (SRE)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Eval_Stage!$E$2:$E$51</c:f>
              <c:numCache>
                <c:formatCode>0.00</c:formatCode>
                <c:ptCount val="50"/>
                <c:pt idx="0">
                  <c:v>11.25</c:v>
                </c:pt>
                <c:pt idx="1">
                  <c:v>9.5652173913043477</c:v>
                </c:pt>
                <c:pt idx="2">
                  <c:v>10</c:v>
                </c:pt>
                <c:pt idx="3">
                  <c:v>19.285714285714285</c:v>
                </c:pt>
                <c:pt idx="4">
                  <c:v>10</c:v>
                </c:pt>
                <c:pt idx="5">
                  <c:v>8</c:v>
                </c:pt>
                <c:pt idx="6">
                  <c:v>13.076923076923077</c:v>
                </c:pt>
                <c:pt idx="7">
                  <c:v>9.0909090909090899</c:v>
                </c:pt>
                <c:pt idx="8">
                  <c:v>12.272727272727273</c:v>
                </c:pt>
                <c:pt idx="9">
                  <c:v>12.142857142857142</c:v>
                </c:pt>
                <c:pt idx="10">
                  <c:v>10.833333333333332</c:v>
                </c:pt>
                <c:pt idx="11">
                  <c:v>8.3333333333333339</c:v>
                </c:pt>
                <c:pt idx="12">
                  <c:v>9.375</c:v>
                </c:pt>
                <c:pt idx="13">
                  <c:v>9.0909090909090899</c:v>
                </c:pt>
                <c:pt idx="14">
                  <c:v>11.666666666666668</c:v>
                </c:pt>
                <c:pt idx="15">
                  <c:v>10</c:v>
                </c:pt>
                <c:pt idx="16">
                  <c:v>9.5</c:v>
                </c:pt>
                <c:pt idx="17">
                  <c:v>9.5</c:v>
                </c:pt>
                <c:pt idx="18">
                  <c:v>19.285714285714285</c:v>
                </c:pt>
                <c:pt idx="19">
                  <c:v>10</c:v>
                </c:pt>
                <c:pt idx="20">
                  <c:v>8.8888888888888893</c:v>
                </c:pt>
                <c:pt idx="21">
                  <c:v>13.076923076923077</c:v>
                </c:pt>
                <c:pt idx="22">
                  <c:v>9.0909090909090899</c:v>
                </c:pt>
                <c:pt idx="23">
                  <c:v>12.272727272727273</c:v>
                </c:pt>
                <c:pt idx="24">
                  <c:v>10</c:v>
                </c:pt>
                <c:pt idx="25">
                  <c:v>10.833333333333332</c:v>
                </c:pt>
                <c:pt idx="26">
                  <c:v>8.3333333333333339</c:v>
                </c:pt>
                <c:pt idx="27">
                  <c:v>9.375</c:v>
                </c:pt>
                <c:pt idx="28">
                  <c:v>9.0909090909090899</c:v>
                </c:pt>
                <c:pt idx="29">
                  <c:v>11.666666666666668</c:v>
                </c:pt>
                <c:pt idx="30">
                  <c:v>11.25</c:v>
                </c:pt>
                <c:pt idx="31">
                  <c:v>9.5652173913043477</c:v>
                </c:pt>
                <c:pt idx="32">
                  <c:v>10</c:v>
                </c:pt>
                <c:pt idx="33">
                  <c:v>19.285714285714285</c:v>
                </c:pt>
                <c:pt idx="34">
                  <c:v>10</c:v>
                </c:pt>
                <c:pt idx="35">
                  <c:v>8</c:v>
                </c:pt>
                <c:pt idx="36">
                  <c:v>13.076923076923077</c:v>
                </c:pt>
                <c:pt idx="37">
                  <c:v>9.0909090909090899</c:v>
                </c:pt>
                <c:pt idx="38">
                  <c:v>12.272727272727273</c:v>
                </c:pt>
                <c:pt idx="39">
                  <c:v>12.142857142857142</c:v>
                </c:pt>
                <c:pt idx="40">
                  <c:v>10.833333333333332</c:v>
                </c:pt>
                <c:pt idx="41">
                  <c:v>8.3333333333333339</c:v>
                </c:pt>
                <c:pt idx="42">
                  <c:v>9.375</c:v>
                </c:pt>
                <c:pt idx="43">
                  <c:v>9.0909090909090899</c:v>
                </c:pt>
                <c:pt idx="44">
                  <c:v>11.666666666666668</c:v>
                </c:pt>
                <c:pt idx="45">
                  <c:v>9.4117647058823533</c:v>
                </c:pt>
                <c:pt idx="46">
                  <c:v>8.5714285714285712</c:v>
                </c:pt>
                <c:pt idx="47">
                  <c:v>15.333333333333334</c:v>
                </c:pt>
                <c:pt idx="48">
                  <c:v>9.2307692307692317</c:v>
                </c:pt>
                <c:pt idx="49">
                  <c:v>8.3333333333333339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41-41CA-BA14-67608748DEB3}"/>
            </c:ext>
          </c:extLst>
        </c:ser>
        <c:ser>
          <c:idx val="5"/>
          <c:order val="4"/>
          <c:tx>
            <c:strRef>
              <c:f>Eval_Stage!$I$1</c:f>
              <c:strCache>
                <c:ptCount val="1"/>
                <c:pt idx="0">
                  <c:v>Total Executes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Eval_Stage!$I$2:$I$51</c:f>
              <c:numCache>
                <c:formatCode>General</c:formatCode>
                <c:ptCount val="50"/>
                <c:pt idx="0">
                  <c:v>24</c:v>
                </c:pt>
                <c:pt idx="1">
                  <c:v>23</c:v>
                </c:pt>
                <c:pt idx="2">
                  <c:v>14</c:v>
                </c:pt>
                <c:pt idx="3">
                  <c:v>14</c:v>
                </c:pt>
                <c:pt idx="4">
                  <c:v>18</c:v>
                </c:pt>
                <c:pt idx="5">
                  <c:v>10</c:v>
                </c:pt>
                <c:pt idx="6">
                  <c:v>26</c:v>
                </c:pt>
                <c:pt idx="7">
                  <c:v>22</c:v>
                </c:pt>
                <c:pt idx="8">
                  <c:v>22</c:v>
                </c:pt>
                <c:pt idx="9">
                  <c:v>14</c:v>
                </c:pt>
                <c:pt idx="10">
                  <c:v>12</c:v>
                </c:pt>
                <c:pt idx="11">
                  <c:v>12</c:v>
                </c:pt>
                <c:pt idx="12">
                  <c:v>16</c:v>
                </c:pt>
                <c:pt idx="13">
                  <c:v>22</c:v>
                </c:pt>
                <c:pt idx="14">
                  <c:v>18</c:v>
                </c:pt>
                <c:pt idx="15">
                  <c:v>16</c:v>
                </c:pt>
                <c:pt idx="16">
                  <c:v>20</c:v>
                </c:pt>
                <c:pt idx="17">
                  <c:v>20</c:v>
                </c:pt>
                <c:pt idx="18">
                  <c:v>14</c:v>
                </c:pt>
                <c:pt idx="19">
                  <c:v>18</c:v>
                </c:pt>
                <c:pt idx="20">
                  <c:v>9</c:v>
                </c:pt>
                <c:pt idx="21">
                  <c:v>26</c:v>
                </c:pt>
                <c:pt idx="22">
                  <c:v>22</c:v>
                </c:pt>
                <c:pt idx="23">
                  <c:v>22</c:v>
                </c:pt>
                <c:pt idx="24">
                  <c:v>44</c:v>
                </c:pt>
                <c:pt idx="25">
                  <c:v>12</c:v>
                </c:pt>
                <c:pt idx="26">
                  <c:v>12</c:v>
                </c:pt>
                <c:pt idx="27">
                  <c:v>16</c:v>
                </c:pt>
                <c:pt idx="28">
                  <c:v>22</c:v>
                </c:pt>
                <c:pt idx="29">
                  <c:v>18</c:v>
                </c:pt>
                <c:pt idx="30">
                  <c:v>24</c:v>
                </c:pt>
                <c:pt idx="31">
                  <c:v>23</c:v>
                </c:pt>
                <c:pt idx="32">
                  <c:v>14</c:v>
                </c:pt>
                <c:pt idx="33">
                  <c:v>14</c:v>
                </c:pt>
                <c:pt idx="34">
                  <c:v>18</c:v>
                </c:pt>
                <c:pt idx="35">
                  <c:v>10</c:v>
                </c:pt>
                <c:pt idx="36">
                  <c:v>26</c:v>
                </c:pt>
                <c:pt idx="37">
                  <c:v>22</c:v>
                </c:pt>
                <c:pt idx="38">
                  <c:v>22</c:v>
                </c:pt>
                <c:pt idx="39">
                  <c:v>14</c:v>
                </c:pt>
                <c:pt idx="40">
                  <c:v>12</c:v>
                </c:pt>
                <c:pt idx="41">
                  <c:v>12</c:v>
                </c:pt>
                <c:pt idx="42">
                  <c:v>16</c:v>
                </c:pt>
                <c:pt idx="43">
                  <c:v>22</c:v>
                </c:pt>
                <c:pt idx="44">
                  <c:v>18</c:v>
                </c:pt>
                <c:pt idx="45">
                  <c:v>17</c:v>
                </c:pt>
                <c:pt idx="46">
                  <c:v>21</c:v>
                </c:pt>
                <c:pt idx="47">
                  <c:v>15</c:v>
                </c:pt>
                <c:pt idx="48">
                  <c:v>13</c:v>
                </c:pt>
                <c:pt idx="4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41-41CA-BA14-67608748DEB3}"/>
            </c:ext>
          </c:extLst>
        </c:ser>
        <c:ser>
          <c:idx val="0"/>
          <c:order val="5"/>
          <c:tx>
            <c:strRef>
              <c:f>Eval_Stage!$L$1</c:f>
              <c:strCache>
                <c:ptCount val="1"/>
                <c:pt idx="0">
                  <c:v>SR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Eval_Stage!$L$2:$L$51</c:f>
              <c:numCache>
                <c:formatCode>General</c:formatCode>
                <c:ptCount val="50"/>
                <c:pt idx="0">
                  <c:v>27</c:v>
                </c:pt>
                <c:pt idx="1">
                  <c:v>22</c:v>
                </c:pt>
                <c:pt idx="2">
                  <c:v>14</c:v>
                </c:pt>
                <c:pt idx="3">
                  <c:v>27</c:v>
                </c:pt>
                <c:pt idx="4">
                  <c:v>18</c:v>
                </c:pt>
                <c:pt idx="5">
                  <c:v>8</c:v>
                </c:pt>
                <c:pt idx="6">
                  <c:v>34</c:v>
                </c:pt>
                <c:pt idx="7">
                  <c:v>20</c:v>
                </c:pt>
                <c:pt idx="8">
                  <c:v>27</c:v>
                </c:pt>
                <c:pt idx="9">
                  <c:v>17</c:v>
                </c:pt>
                <c:pt idx="10">
                  <c:v>13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21</c:v>
                </c:pt>
                <c:pt idx="15">
                  <c:v>16</c:v>
                </c:pt>
                <c:pt idx="16">
                  <c:v>19</c:v>
                </c:pt>
                <c:pt idx="17">
                  <c:v>19</c:v>
                </c:pt>
                <c:pt idx="18">
                  <c:v>27</c:v>
                </c:pt>
                <c:pt idx="19">
                  <c:v>18</c:v>
                </c:pt>
                <c:pt idx="20">
                  <c:v>8</c:v>
                </c:pt>
                <c:pt idx="21">
                  <c:v>34</c:v>
                </c:pt>
                <c:pt idx="22">
                  <c:v>20</c:v>
                </c:pt>
                <c:pt idx="23">
                  <c:v>27</c:v>
                </c:pt>
                <c:pt idx="24">
                  <c:v>44</c:v>
                </c:pt>
                <c:pt idx="25">
                  <c:v>13</c:v>
                </c:pt>
                <c:pt idx="26">
                  <c:v>10</c:v>
                </c:pt>
                <c:pt idx="27">
                  <c:v>15</c:v>
                </c:pt>
                <c:pt idx="28">
                  <c:v>20</c:v>
                </c:pt>
                <c:pt idx="29">
                  <c:v>21</c:v>
                </c:pt>
                <c:pt idx="30">
                  <c:v>27</c:v>
                </c:pt>
                <c:pt idx="31">
                  <c:v>22</c:v>
                </c:pt>
                <c:pt idx="32">
                  <c:v>14</c:v>
                </c:pt>
                <c:pt idx="33">
                  <c:v>27</c:v>
                </c:pt>
                <c:pt idx="34">
                  <c:v>18</c:v>
                </c:pt>
                <c:pt idx="35">
                  <c:v>8</c:v>
                </c:pt>
                <c:pt idx="36">
                  <c:v>34</c:v>
                </c:pt>
                <c:pt idx="37">
                  <c:v>20</c:v>
                </c:pt>
                <c:pt idx="38">
                  <c:v>27</c:v>
                </c:pt>
                <c:pt idx="39">
                  <c:v>17</c:v>
                </c:pt>
                <c:pt idx="40">
                  <c:v>13</c:v>
                </c:pt>
                <c:pt idx="41">
                  <c:v>10</c:v>
                </c:pt>
                <c:pt idx="42">
                  <c:v>15</c:v>
                </c:pt>
                <c:pt idx="43">
                  <c:v>20</c:v>
                </c:pt>
                <c:pt idx="44">
                  <c:v>21</c:v>
                </c:pt>
                <c:pt idx="45">
                  <c:v>16</c:v>
                </c:pt>
                <c:pt idx="46">
                  <c:v>18</c:v>
                </c:pt>
                <c:pt idx="47">
                  <c:v>23</c:v>
                </c:pt>
                <c:pt idx="48">
                  <c:v>12</c:v>
                </c:pt>
                <c:pt idx="4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41-41CA-BA14-67608748D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844175"/>
        <c:axId val="592844655"/>
      </c:lineChart>
      <c:catAx>
        <c:axId val="592844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1"/>
                  <a:t>Episode</a:t>
                </a:r>
              </a:p>
            </c:rich>
          </c:tx>
          <c:layout>
            <c:manualLayout>
              <c:xMode val="edge"/>
              <c:yMode val="edge"/>
              <c:x val="0.47898956418807376"/>
              <c:y val="0.930553798372895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44655"/>
        <c:crosses val="autoZero"/>
        <c:auto val="1"/>
        <c:lblAlgn val="ctr"/>
        <c:lblOffset val="100"/>
        <c:noMultiLvlLbl val="0"/>
      </c:catAx>
      <c:valAx>
        <c:axId val="59284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4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911520002820301"/>
          <c:y val="1.7831421050017379E-2"/>
          <c:w val="0.33012221215077525"/>
          <c:h val="0.25910993778167635"/>
        </c:manualLayout>
      </c:layout>
      <c:overlay val="0"/>
      <c:spPr>
        <a:solidFill>
          <a:schemeClr val="bg1"/>
        </a:solidFill>
        <a:ln>
          <a:noFill/>
          <a:prstDash val="dash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Eval_Stage!$L$1</c:f>
              <c:strCache>
                <c:ptCount val="1"/>
                <c:pt idx="0">
                  <c:v>SR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Eval_Stage!$L$2:$L$51</c:f>
              <c:numCache>
                <c:formatCode>General</c:formatCode>
                <c:ptCount val="50"/>
                <c:pt idx="0">
                  <c:v>27</c:v>
                </c:pt>
                <c:pt idx="1">
                  <c:v>22</c:v>
                </c:pt>
                <c:pt idx="2">
                  <c:v>14</c:v>
                </c:pt>
                <c:pt idx="3">
                  <c:v>27</c:v>
                </c:pt>
                <c:pt idx="4">
                  <c:v>18</c:v>
                </c:pt>
                <c:pt idx="5">
                  <c:v>8</c:v>
                </c:pt>
                <c:pt idx="6">
                  <c:v>34</c:v>
                </c:pt>
                <c:pt idx="7">
                  <c:v>20</c:v>
                </c:pt>
                <c:pt idx="8">
                  <c:v>27</c:v>
                </c:pt>
                <c:pt idx="9">
                  <c:v>17</c:v>
                </c:pt>
                <c:pt idx="10">
                  <c:v>13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21</c:v>
                </c:pt>
                <c:pt idx="15">
                  <c:v>16</c:v>
                </c:pt>
                <c:pt idx="16">
                  <c:v>19</c:v>
                </c:pt>
                <c:pt idx="17">
                  <c:v>19</c:v>
                </c:pt>
                <c:pt idx="18">
                  <c:v>27</c:v>
                </c:pt>
                <c:pt idx="19">
                  <c:v>18</c:v>
                </c:pt>
                <c:pt idx="20">
                  <c:v>8</c:v>
                </c:pt>
                <c:pt idx="21">
                  <c:v>34</c:v>
                </c:pt>
                <c:pt idx="22">
                  <c:v>20</c:v>
                </c:pt>
                <c:pt idx="23">
                  <c:v>27</c:v>
                </c:pt>
                <c:pt idx="24">
                  <c:v>44</c:v>
                </c:pt>
                <c:pt idx="25">
                  <c:v>13</c:v>
                </c:pt>
                <c:pt idx="26">
                  <c:v>10</c:v>
                </c:pt>
                <c:pt idx="27">
                  <c:v>15</c:v>
                </c:pt>
                <c:pt idx="28">
                  <c:v>20</c:v>
                </c:pt>
                <c:pt idx="29">
                  <c:v>21</c:v>
                </c:pt>
                <c:pt idx="30">
                  <c:v>27</c:v>
                </c:pt>
                <c:pt idx="31">
                  <c:v>22</c:v>
                </c:pt>
                <c:pt idx="32">
                  <c:v>14</c:v>
                </c:pt>
                <c:pt idx="33">
                  <c:v>27</c:v>
                </c:pt>
                <c:pt idx="34">
                  <c:v>18</c:v>
                </c:pt>
                <c:pt idx="35">
                  <c:v>8</c:v>
                </c:pt>
                <c:pt idx="36">
                  <c:v>34</c:v>
                </c:pt>
                <c:pt idx="37">
                  <c:v>20</c:v>
                </c:pt>
                <c:pt idx="38">
                  <c:v>27</c:v>
                </c:pt>
                <c:pt idx="39">
                  <c:v>17</c:v>
                </c:pt>
                <c:pt idx="40">
                  <c:v>13</c:v>
                </c:pt>
                <c:pt idx="41">
                  <c:v>10</c:v>
                </c:pt>
                <c:pt idx="42">
                  <c:v>15</c:v>
                </c:pt>
                <c:pt idx="43">
                  <c:v>20</c:v>
                </c:pt>
                <c:pt idx="44">
                  <c:v>21</c:v>
                </c:pt>
                <c:pt idx="45">
                  <c:v>16</c:v>
                </c:pt>
                <c:pt idx="46">
                  <c:v>18</c:v>
                </c:pt>
                <c:pt idx="47">
                  <c:v>23</c:v>
                </c:pt>
                <c:pt idx="48">
                  <c:v>12</c:v>
                </c:pt>
                <c:pt idx="4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4-447A-8105-10AC95C5227C}"/>
            </c:ext>
          </c:extLst>
        </c:ser>
        <c:ser>
          <c:idx val="1"/>
          <c:order val="1"/>
          <c:tx>
            <c:strRef>
              <c:f>Eval_Stage!$I$1</c:f>
              <c:strCache>
                <c:ptCount val="1"/>
                <c:pt idx="0">
                  <c:v>Total Executes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Eval_Stage!$I$2:$I$51</c:f>
              <c:numCache>
                <c:formatCode>General</c:formatCode>
                <c:ptCount val="50"/>
                <c:pt idx="0">
                  <c:v>24</c:v>
                </c:pt>
                <c:pt idx="1">
                  <c:v>23</c:v>
                </c:pt>
                <c:pt idx="2">
                  <c:v>14</c:v>
                </c:pt>
                <c:pt idx="3">
                  <c:v>14</c:v>
                </c:pt>
                <c:pt idx="4">
                  <c:v>18</c:v>
                </c:pt>
                <c:pt idx="5">
                  <c:v>10</c:v>
                </c:pt>
                <c:pt idx="6">
                  <c:v>26</c:v>
                </c:pt>
                <c:pt idx="7">
                  <c:v>22</c:v>
                </c:pt>
                <c:pt idx="8">
                  <c:v>22</c:v>
                </c:pt>
                <c:pt idx="9">
                  <c:v>14</c:v>
                </c:pt>
                <c:pt idx="10">
                  <c:v>12</c:v>
                </c:pt>
                <c:pt idx="11">
                  <c:v>12</c:v>
                </c:pt>
                <c:pt idx="12">
                  <c:v>16</c:v>
                </c:pt>
                <c:pt idx="13">
                  <c:v>22</c:v>
                </c:pt>
                <c:pt idx="14">
                  <c:v>18</c:v>
                </c:pt>
                <c:pt idx="15">
                  <c:v>16</c:v>
                </c:pt>
                <c:pt idx="16">
                  <c:v>20</c:v>
                </c:pt>
                <c:pt idx="17">
                  <c:v>20</c:v>
                </c:pt>
                <c:pt idx="18">
                  <c:v>14</c:v>
                </c:pt>
                <c:pt idx="19">
                  <c:v>18</c:v>
                </c:pt>
                <c:pt idx="20">
                  <c:v>9</c:v>
                </c:pt>
                <c:pt idx="21">
                  <c:v>26</c:v>
                </c:pt>
                <c:pt idx="22">
                  <c:v>22</c:v>
                </c:pt>
                <c:pt idx="23">
                  <c:v>22</c:v>
                </c:pt>
                <c:pt idx="24">
                  <c:v>44</c:v>
                </c:pt>
                <c:pt idx="25">
                  <c:v>12</c:v>
                </c:pt>
                <c:pt idx="26">
                  <c:v>12</c:v>
                </c:pt>
                <c:pt idx="27">
                  <c:v>16</c:v>
                </c:pt>
                <c:pt idx="28">
                  <c:v>22</c:v>
                </c:pt>
                <c:pt idx="29">
                  <c:v>18</c:v>
                </c:pt>
                <c:pt idx="30">
                  <c:v>24</c:v>
                </c:pt>
                <c:pt idx="31">
                  <c:v>23</c:v>
                </c:pt>
                <c:pt idx="32">
                  <c:v>14</c:v>
                </c:pt>
                <c:pt idx="33">
                  <c:v>14</c:v>
                </c:pt>
                <c:pt idx="34">
                  <c:v>18</c:v>
                </c:pt>
                <c:pt idx="35">
                  <c:v>10</c:v>
                </c:pt>
                <c:pt idx="36">
                  <c:v>26</c:v>
                </c:pt>
                <c:pt idx="37">
                  <c:v>22</c:v>
                </c:pt>
                <c:pt idx="38">
                  <c:v>22</c:v>
                </c:pt>
                <c:pt idx="39">
                  <c:v>14</c:v>
                </c:pt>
                <c:pt idx="40">
                  <c:v>12</c:v>
                </c:pt>
                <c:pt idx="41">
                  <c:v>12</c:v>
                </c:pt>
                <c:pt idx="42">
                  <c:v>16</c:v>
                </c:pt>
                <c:pt idx="43">
                  <c:v>22</c:v>
                </c:pt>
                <c:pt idx="44">
                  <c:v>18</c:v>
                </c:pt>
                <c:pt idx="45">
                  <c:v>17</c:v>
                </c:pt>
                <c:pt idx="46">
                  <c:v>21</c:v>
                </c:pt>
                <c:pt idx="47">
                  <c:v>15</c:v>
                </c:pt>
                <c:pt idx="48">
                  <c:v>13</c:v>
                </c:pt>
                <c:pt idx="4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84-447A-8105-10AC95C5227C}"/>
            </c:ext>
          </c:extLst>
        </c:ser>
        <c:ser>
          <c:idx val="2"/>
          <c:order val="2"/>
          <c:tx>
            <c:strRef>
              <c:f>Eval_Stage!$B$1</c:f>
              <c:strCache>
                <c:ptCount val="1"/>
                <c:pt idx="0">
                  <c:v>Total Steps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Eval_Stage!$B$2:$B$51</c:f>
              <c:numCache>
                <c:formatCode>General</c:formatCode>
                <c:ptCount val="50"/>
                <c:pt idx="0">
                  <c:v>63</c:v>
                </c:pt>
                <c:pt idx="1">
                  <c:v>53</c:v>
                </c:pt>
                <c:pt idx="2">
                  <c:v>33</c:v>
                </c:pt>
                <c:pt idx="3">
                  <c:v>56</c:v>
                </c:pt>
                <c:pt idx="4">
                  <c:v>41</c:v>
                </c:pt>
                <c:pt idx="5">
                  <c:v>22</c:v>
                </c:pt>
                <c:pt idx="6">
                  <c:v>77</c:v>
                </c:pt>
                <c:pt idx="7">
                  <c:v>50</c:v>
                </c:pt>
                <c:pt idx="8">
                  <c:v>62</c:v>
                </c:pt>
                <c:pt idx="9">
                  <c:v>39</c:v>
                </c:pt>
                <c:pt idx="10">
                  <c:v>30</c:v>
                </c:pt>
                <c:pt idx="11">
                  <c:v>25</c:v>
                </c:pt>
                <c:pt idx="12">
                  <c:v>37</c:v>
                </c:pt>
                <c:pt idx="13">
                  <c:v>50</c:v>
                </c:pt>
                <c:pt idx="14">
                  <c:v>49</c:v>
                </c:pt>
                <c:pt idx="15">
                  <c:v>38</c:v>
                </c:pt>
                <c:pt idx="16">
                  <c:v>47</c:v>
                </c:pt>
                <c:pt idx="17">
                  <c:v>47</c:v>
                </c:pt>
                <c:pt idx="18">
                  <c:v>58</c:v>
                </c:pt>
                <c:pt idx="19">
                  <c:v>43</c:v>
                </c:pt>
                <c:pt idx="20">
                  <c:v>20</c:v>
                </c:pt>
                <c:pt idx="21">
                  <c:v>77</c:v>
                </c:pt>
                <c:pt idx="22">
                  <c:v>50</c:v>
                </c:pt>
                <c:pt idx="23">
                  <c:v>62</c:v>
                </c:pt>
                <c:pt idx="24">
                  <c:v>100</c:v>
                </c:pt>
                <c:pt idx="25">
                  <c:v>30</c:v>
                </c:pt>
                <c:pt idx="26">
                  <c:v>25</c:v>
                </c:pt>
                <c:pt idx="27">
                  <c:v>37</c:v>
                </c:pt>
                <c:pt idx="28">
                  <c:v>50</c:v>
                </c:pt>
                <c:pt idx="29">
                  <c:v>49</c:v>
                </c:pt>
                <c:pt idx="30">
                  <c:v>63</c:v>
                </c:pt>
                <c:pt idx="31">
                  <c:v>53</c:v>
                </c:pt>
                <c:pt idx="32">
                  <c:v>33</c:v>
                </c:pt>
                <c:pt idx="33">
                  <c:v>56</c:v>
                </c:pt>
                <c:pt idx="34">
                  <c:v>41</c:v>
                </c:pt>
                <c:pt idx="35">
                  <c:v>22</c:v>
                </c:pt>
                <c:pt idx="36">
                  <c:v>77</c:v>
                </c:pt>
                <c:pt idx="37">
                  <c:v>50</c:v>
                </c:pt>
                <c:pt idx="38">
                  <c:v>62</c:v>
                </c:pt>
                <c:pt idx="39">
                  <c:v>39</c:v>
                </c:pt>
                <c:pt idx="40">
                  <c:v>30</c:v>
                </c:pt>
                <c:pt idx="41">
                  <c:v>25</c:v>
                </c:pt>
                <c:pt idx="42">
                  <c:v>37</c:v>
                </c:pt>
                <c:pt idx="43">
                  <c:v>50</c:v>
                </c:pt>
                <c:pt idx="44">
                  <c:v>49</c:v>
                </c:pt>
                <c:pt idx="45">
                  <c:v>39</c:v>
                </c:pt>
                <c:pt idx="46">
                  <c:v>45</c:v>
                </c:pt>
                <c:pt idx="47">
                  <c:v>51</c:v>
                </c:pt>
                <c:pt idx="48">
                  <c:v>28</c:v>
                </c:pt>
                <c:pt idx="4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84-447A-8105-10AC95C5227C}"/>
            </c:ext>
          </c:extLst>
        </c:ser>
        <c:ser>
          <c:idx val="3"/>
          <c:order val="3"/>
          <c:tx>
            <c:strRef>
              <c:f>Eval_Stage!$E$1</c:f>
              <c:strCache>
                <c:ptCount val="1"/>
                <c:pt idx="0">
                  <c:v>Structural Resolution Efficiency (SRE)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Eval_Stage!$E$2:$E$51</c:f>
              <c:numCache>
                <c:formatCode>0.00</c:formatCode>
                <c:ptCount val="50"/>
                <c:pt idx="0">
                  <c:v>11.25</c:v>
                </c:pt>
                <c:pt idx="1">
                  <c:v>9.5652173913043477</c:v>
                </c:pt>
                <c:pt idx="2">
                  <c:v>10</c:v>
                </c:pt>
                <c:pt idx="3">
                  <c:v>19.285714285714285</c:v>
                </c:pt>
                <c:pt idx="4">
                  <c:v>10</c:v>
                </c:pt>
                <c:pt idx="5">
                  <c:v>8</c:v>
                </c:pt>
                <c:pt idx="6">
                  <c:v>13.076923076923077</c:v>
                </c:pt>
                <c:pt idx="7">
                  <c:v>9.0909090909090899</c:v>
                </c:pt>
                <c:pt idx="8">
                  <c:v>12.272727272727273</c:v>
                </c:pt>
                <c:pt idx="9">
                  <c:v>12.142857142857142</c:v>
                </c:pt>
                <c:pt idx="10">
                  <c:v>10.833333333333332</c:v>
                </c:pt>
                <c:pt idx="11">
                  <c:v>8.3333333333333339</c:v>
                </c:pt>
                <c:pt idx="12">
                  <c:v>9.375</c:v>
                </c:pt>
                <c:pt idx="13">
                  <c:v>9.0909090909090899</c:v>
                </c:pt>
                <c:pt idx="14">
                  <c:v>11.666666666666668</c:v>
                </c:pt>
                <c:pt idx="15">
                  <c:v>10</c:v>
                </c:pt>
                <c:pt idx="16">
                  <c:v>9.5</c:v>
                </c:pt>
                <c:pt idx="17">
                  <c:v>9.5</c:v>
                </c:pt>
                <c:pt idx="18">
                  <c:v>19.285714285714285</c:v>
                </c:pt>
                <c:pt idx="19">
                  <c:v>10</c:v>
                </c:pt>
                <c:pt idx="20">
                  <c:v>8.8888888888888893</c:v>
                </c:pt>
                <c:pt idx="21">
                  <c:v>13.076923076923077</c:v>
                </c:pt>
                <c:pt idx="22">
                  <c:v>9.0909090909090899</c:v>
                </c:pt>
                <c:pt idx="23">
                  <c:v>12.272727272727273</c:v>
                </c:pt>
                <c:pt idx="24">
                  <c:v>10</c:v>
                </c:pt>
                <c:pt idx="25">
                  <c:v>10.833333333333332</c:v>
                </c:pt>
                <c:pt idx="26">
                  <c:v>8.3333333333333339</c:v>
                </c:pt>
                <c:pt idx="27">
                  <c:v>9.375</c:v>
                </c:pt>
                <c:pt idx="28">
                  <c:v>9.0909090909090899</c:v>
                </c:pt>
                <c:pt idx="29">
                  <c:v>11.666666666666668</c:v>
                </c:pt>
                <c:pt idx="30">
                  <c:v>11.25</c:v>
                </c:pt>
                <c:pt idx="31">
                  <c:v>9.5652173913043477</c:v>
                </c:pt>
                <c:pt idx="32">
                  <c:v>10</c:v>
                </c:pt>
                <c:pt idx="33">
                  <c:v>19.285714285714285</c:v>
                </c:pt>
                <c:pt idx="34">
                  <c:v>10</c:v>
                </c:pt>
                <c:pt idx="35">
                  <c:v>8</c:v>
                </c:pt>
                <c:pt idx="36">
                  <c:v>13.076923076923077</c:v>
                </c:pt>
                <c:pt idx="37">
                  <c:v>9.0909090909090899</c:v>
                </c:pt>
                <c:pt idx="38">
                  <c:v>12.272727272727273</c:v>
                </c:pt>
                <c:pt idx="39">
                  <c:v>12.142857142857142</c:v>
                </c:pt>
                <c:pt idx="40">
                  <c:v>10.833333333333332</c:v>
                </c:pt>
                <c:pt idx="41">
                  <c:v>8.3333333333333339</c:v>
                </c:pt>
                <c:pt idx="42">
                  <c:v>9.375</c:v>
                </c:pt>
                <c:pt idx="43">
                  <c:v>9.0909090909090899</c:v>
                </c:pt>
                <c:pt idx="44">
                  <c:v>11.666666666666668</c:v>
                </c:pt>
                <c:pt idx="45">
                  <c:v>9.4117647058823533</c:v>
                </c:pt>
                <c:pt idx="46">
                  <c:v>8.5714285714285712</c:v>
                </c:pt>
                <c:pt idx="47">
                  <c:v>15.333333333333334</c:v>
                </c:pt>
                <c:pt idx="48">
                  <c:v>9.2307692307692317</c:v>
                </c:pt>
                <c:pt idx="49">
                  <c:v>8.3333333333333339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84-447A-8105-10AC95C52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456639"/>
        <c:axId val="452457119"/>
      </c:lineChart>
      <c:catAx>
        <c:axId val="452456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57119"/>
        <c:crosses val="autoZero"/>
        <c:auto val="1"/>
        <c:lblAlgn val="ctr"/>
        <c:lblOffset val="100"/>
        <c:noMultiLvlLbl val="0"/>
      </c:catAx>
      <c:valAx>
        <c:axId val="45245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222538</xdr:colOff>
      <xdr:row>2</xdr:row>
      <xdr:rowOff>184150</xdr:rowOff>
    </xdr:from>
    <xdr:to>
      <xdr:col>31</xdr:col>
      <xdr:colOff>384464</xdr:colOff>
      <xdr:row>35</xdr:row>
      <xdr:rowOff>139123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25C83-A0E5-839D-8956-B4765CEC9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190838</xdr:colOff>
      <xdr:row>37</xdr:row>
      <xdr:rowOff>190841</xdr:rowOff>
    </xdr:from>
    <xdr:to>
      <xdr:col>31</xdr:col>
      <xdr:colOff>364701</xdr:colOff>
      <xdr:row>71</xdr:row>
      <xdr:rowOff>139226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528969-4B86-03F7-CB7C-F683A263B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634999</xdr:colOff>
      <xdr:row>62</xdr:row>
      <xdr:rowOff>111989</xdr:rowOff>
    </xdr:from>
    <xdr:to>
      <xdr:col>8</xdr:col>
      <xdr:colOff>461818</xdr:colOff>
      <xdr:row>97</xdr:row>
      <xdr:rowOff>80818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4B5AD0-79C0-DEDB-A509-EDFB5DE81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Vaagland" refreshedDate="46069.626859374999" createdVersion="8" refreshedVersion="8" minRefreshableVersion="3" recordCount="50" xr:uid="{C9DF1FF8-C7B6-4A9E-AFB5-0BAE1F46FCBA}">
  <cacheSource type="worksheet">
    <worksheetSource ref="A1:K51" sheet="Eval_Stage"/>
  </cacheSource>
  <cacheFields count="11">
    <cacheField name="Episode" numFmtId="0">
      <sharedItems containsSemiMixedTypes="0" containsString="0" containsNumber="1" containsInteger="1" minValue="1" maxValue="50"/>
    </cacheField>
    <cacheField name="Total Steps" numFmtId="0">
      <sharedItems containsSemiMixedTypes="0" containsString="0" containsNumber="1" containsInteger="1" minValue="20" maxValue="100"/>
    </cacheField>
    <cacheField name="Complexity (Cols)" numFmtId="0">
      <sharedItems containsSemiMixedTypes="0" containsString="0" containsNumber="1" containsInteger="1" minValue="2" maxValue="23"/>
    </cacheField>
    <cacheField name="Tables Extracted" numFmtId="0">
      <sharedItems containsSemiMixedTypes="0" containsString="0" containsNumber="1" containsInteger="1" minValue="2" maxValue="11" count="9">
        <n v="9"/>
        <n v="5"/>
        <n v="2"/>
        <n v="7"/>
        <n v="3"/>
        <n v="8"/>
        <n v="4"/>
        <n v="6"/>
        <n v="11"/>
      </sharedItems>
    </cacheField>
    <cacheField name="Structural Resolution Efficiency (SRE)" numFmtId="2">
      <sharedItems containsSemiMixedTypes="0" containsString="0" containsNumber="1" minValue="8" maxValue="19.285714285714285"/>
    </cacheField>
    <cacheField name="Table Extract Percentage" numFmtId="10">
      <sharedItems containsSemiMixedTypes="0" containsString="0" containsNumber="1" containsInteger="1" minValue="1" maxValue="1"/>
    </cacheField>
    <cacheField name="Rows Extracted" numFmtId="0">
      <sharedItems containsSemiMixedTypes="0" containsString="0" containsNumber="1" containsInteger="1" minValue="46" maxValue="1077"/>
    </cacheField>
    <cacheField name="Row Extract Percentage" numFmtId="10">
      <sharedItems containsSemiMixedTypes="0" containsString="0" containsNumber="1" containsInteger="1" minValue="1" maxValue="1"/>
    </cacheField>
    <cacheField name="Total Executes" numFmtId="0">
      <sharedItems containsSemiMixedTypes="0" containsString="0" containsNumber="1" containsInteger="1" minValue="9" maxValue="44"/>
    </cacheField>
    <cacheField name="Execution Ratio (%)" numFmtId="10">
      <sharedItems containsSemiMixedTypes="0" containsString="0" containsNumber="1" minValue="0.2413793103448276" maxValue="0.48"/>
    </cacheField>
    <cacheField name="SRE Normalized" numFmtId="2">
      <sharedItems containsSemiMixedTypes="0" containsString="0" containsNumber="1" minValue="0.8" maxValue="1.9285714285714286" count="19">
        <n v="1.125"/>
        <n v="0.95652173913043481"/>
        <n v="1"/>
        <n v="1.9285714285714286"/>
        <n v="0.8"/>
        <n v="1.3076923076923077"/>
        <n v="0.90909090909090906"/>
        <n v="1.2272727272727273"/>
        <n v="1.2142857142857142"/>
        <n v="1.0833333333333333"/>
        <n v="0.83333333333333337"/>
        <n v="0.9375"/>
        <n v="1.1666666666666667"/>
        <n v="0.95"/>
        <n v="0.88888888888888884"/>
        <n v="0.94117647058823528"/>
        <n v="0.8571428571428571"/>
        <n v="1.5333333333333334"/>
        <n v="0.923076923076923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Vaagland" refreshedDate="46088.664413078703" createdVersion="8" refreshedVersion="8" minRefreshableVersion="3" recordCount="50" xr:uid="{FBD9486A-91A0-47E6-ABAE-466BD3B95F7C}">
  <cacheSource type="worksheet">
    <worksheetSource name="Table1"/>
  </cacheSource>
  <cacheFields count="11">
    <cacheField name="Episode" numFmtId="0">
      <sharedItems containsSemiMixedTypes="0" containsString="0" containsNumber="1" containsInteger="1" minValue="1" maxValue="50"/>
    </cacheField>
    <cacheField name="Total Steps" numFmtId="0">
      <sharedItems containsSemiMixedTypes="0" containsString="0" containsNumber="1" containsInteger="1" minValue="20" maxValue="100"/>
    </cacheField>
    <cacheField name="Complexity (Cols)" numFmtId="0">
      <sharedItems containsSemiMixedTypes="0" containsString="0" containsNumber="1" containsInteger="1" minValue="2" maxValue="23"/>
    </cacheField>
    <cacheField name="Tables Extracted" numFmtId="0">
      <sharedItems containsSemiMixedTypes="0" containsString="0" containsNumber="1" containsInteger="1" minValue="2" maxValue="11"/>
    </cacheField>
    <cacheField name="Total Executes" numFmtId="0">
      <sharedItems containsSemiMixedTypes="0" containsString="0" containsNumber="1" containsInteger="1" minValue="9" maxValue="44"/>
    </cacheField>
    <cacheField name="SRE Normalized" numFmtId="2">
      <sharedItems containsSemiMixedTypes="0" containsString="0" containsNumber="1" minValue="0.8" maxValue="1.9285714285714286"/>
    </cacheField>
    <cacheField name="COLS_GROUP" numFmtId="0">
      <sharedItems/>
    </cacheField>
    <cacheField name="TABLES_GROUP" numFmtId="0">
      <sharedItems/>
    </cacheField>
    <cacheField name="Group" numFmtId="0">
      <sharedItems count="4">
        <s v="many cols,many tables"/>
        <s v="few cols,many tables"/>
        <s v="few cols,few tables"/>
        <s v="many cols,few tables"/>
      </sharedItems>
    </cacheField>
    <cacheField name="Total Executes2" numFmtId="0">
      <sharedItems containsSemiMixedTypes="0" containsString="0" containsNumber="1" containsInteger="1" minValue="9" maxValue="44"/>
    </cacheField>
    <cacheField name="Execution Ratio (%)" numFmtId="10">
      <sharedItems containsSemiMixedTypes="0" containsString="0" containsNumber="1" minValue="0.2413793103448276" maxValue="0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n v="63"/>
    <n v="9"/>
    <x v="0"/>
    <n v="11.25"/>
    <n v="1"/>
    <n v="411"/>
    <n v="1"/>
    <n v="24"/>
    <n v="0.38095238095238093"/>
    <x v="0"/>
  </r>
  <r>
    <n v="2"/>
    <n v="53"/>
    <n v="4"/>
    <x v="0"/>
    <n v="9.5652173913043477"/>
    <n v="1"/>
    <n v="1045"/>
    <n v="1"/>
    <n v="23"/>
    <n v="0.43396226415094341"/>
    <x v="1"/>
  </r>
  <r>
    <n v="3"/>
    <n v="33"/>
    <n v="4"/>
    <x v="1"/>
    <n v="10"/>
    <n v="1"/>
    <n v="734"/>
    <n v="1"/>
    <n v="14"/>
    <n v="0.42424242424242425"/>
    <x v="2"/>
  </r>
  <r>
    <n v="4"/>
    <n v="56"/>
    <n v="23"/>
    <x v="2"/>
    <n v="19.285714285714285"/>
    <n v="1"/>
    <n v="46"/>
    <n v="1"/>
    <n v="14"/>
    <n v="0.25"/>
    <x v="3"/>
  </r>
  <r>
    <n v="5"/>
    <n v="41"/>
    <n v="4"/>
    <x v="3"/>
    <n v="10"/>
    <n v="1"/>
    <n v="785"/>
    <n v="1"/>
    <n v="18"/>
    <n v="0.43902439024390244"/>
    <x v="2"/>
  </r>
  <r>
    <n v="6"/>
    <n v="22"/>
    <n v="2"/>
    <x v="4"/>
    <n v="8"/>
    <n v="1"/>
    <n v="78"/>
    <n v="1"/>
    <n v="10"/>
    <n v="0.45454545454545453"/>
    <x v="4"/>
  </r>
  <r>
    <n v="7"/>
    <n v="77"/>
    <n v="16"/>
    <x v="0"/>
    <n v="13.076923076923077"/>
    <n v="1"/>
    <n v="411"/>
    <n v="1"/>
    <n v="26"/>
    <n v="0.33766233766233766"/>
    <x v="5"/>
  </r>
  <r>
    <n v="8"/>
    <n v="50"/>
    <n v="2"/>
    <x v="0"/>
    <n v="9.0909090909090899"/>
    <n v="1"/>
    <n v="1073"/>
    <n v="1"/>
    <n v="22"/>
    <n v="0.44"/>
    <x v="6"/>
  </r>
  <r>
    <n v="9"/>
    <n v="62"/>
    <n v="11"/>
    <x v="5"/>
    <n v="12.272727272727273"/>
    <n v="1"/>
    <n v="1062"/>
    <n v="1"/>
    <n v="22"/>
    <n v="0.35483870967741937"/>
    <x v="7"/>
  </r>
  <r>
    <n v="10"/>
    <n v="39"/>
    <n v="7"/>
    <x v="1"/>
    <n v="12.142857142857142"/>
    <n v="1"/>
    <n v="296"/>
    <n v="1"/>
    <n v="14"/>
    <n v="0.35897435897435898"/>
    <x v="8"/>
  </r>
  <r>
    <n v="11"/>
    <n v="30"/>
    <n v="5"/>
    <x v="6"/>
    <n v="10.833333333333332"/>
    <n v="1"/>
    <n v="103"/>
    <n v="1"/>
    <n v="12"/>
    <n v="0.4"/>
    <x v="9"/>
  </r>
  <r>
    <n v="12"/>
    <n v="25"/>
    <n v="2"/>
    <x v="6"/>
    <n v="8.3333333333333339"/>
    <n v="1"/>
    <n v="719"/>
    <n v="1"/>
    <n v="12"/>
    <n v="0.48"/>
    <x v="10"/>
  </r>
  <r>
    <n v="13"/>
    <n v="37"/>
    <n v="3"/>
    <x v="7"/>
    <n v="9.375"/>
    <n v="1"/>
    <n v="360"/>
    <n v="1"/>
    <n v="16"/>
    <n v="0.43243243243243246"/>
    <x v="11"/>
  </r>
  <r>
    <n v="14"/>
    <n v="50"/>
    <n v="2"/>
    <x v="0"/>
    <n v="9.0909090909090899"/>
    <n v="1"/>
    <n v="1073"/>
    <n v="1"/>
    <n v="22"/>
    <n v="0.44"/>
    <x v="6"/>
  </r>
  <r>
    <n v="15"/>
    <n v="49"/>
    <n v="7"/>
    <x v="3"/>
    <n v="11.666666666666668"/>
    <n v="1"/>
    <n v="371"/>
    <n v="1"/>
    <n v="18"/>
    <n v="0.36734693877551022"/>
    <x v="12"/>
  </r>
  <r>
    <n v="16"/>
    <n v="38"/>
    <n v="4"/>
    <x v="7"/>
    <n v="10"/>
    <n v="1"/>
    <n v="999"/>
    <n v="1"/>
    <n v="16"/>
    <n v="0.42105263157894735"/>
    <x v="2"/>
  </r>
  <r>
    <n v="17"/>
    <n v="47"/>
    <n v="3"/>
    <x v="5"/>
    <n v="9.5"/>
    <n v="1"/>
    <n v="816"/>
    <n v="1"/>
    <n v="20"/>
    <n v="0.42553191489361702"/>
    <x v="13"/>
  </r>
  <r>
    <n v="18"/>
    <n v="47"/>
    <n v="3"/>
    <x v="5"/>
    <n v="9.5"/>
    <n v="1"/>
    <n v="1062"/>
    <n v="1"/>
    <n v="20"/>
    <n v="0.42553191489361702"/>
    <x v="13"/>
  </r>
  <r>
    <n v="19"/>
    <n v="58"/>
    <n v="23"/>
    <x v="2"/>
    <n v="19.285714285714285"/>
    <n v="1"/>
    <n v="46"/>
    <n v="1"/>
    <n v="14"/>
    <n v="0.2413793103448276"/>
    <x v="3"/>
  </r>
  <r>
    <n v="20"/>
    <n v="43"/>
    <n v="4"/>
    <x v="3"/>
    <n v="10"/>
    <n v="1"/>
    <n v="785"/>
    <n v="1"/>
    <n v="18"/>
    <n v="0.41860465116279072"/>
    <x v="2"/>
  </r>
  <r>
    <n v="21"/>
    <n v="20"/>
    <n v="2"/>
    <x v="4"/>
    <n v="8.8888888888888893"/>
    <n v="1"/>
    <n v="78"/>
    <n v="1"/>
    <n v="9"/>
    <n v="0.45"/>
    <x v="14"/>
  </r>
  <r>
    <n v="22"/>
    <n v="77"/>
    <n v="16"/>
    <x v="0"/>
    <n v="13.076923076923077"/>
    <n v="1"/>
    <n v="411"/>
    <n v="1"/>
    <n v="26"/>
    <n v="0.33766233766233766"/>
    <x v="5"/>
  </r>
  <r>
    <n v="23"/>
    <n v="50"/>
    <n v="2"/>
    <x v="0"/>
    <n v="9.0909090909090899"/>
    <n v="1"/>
    <n v="1073"/>
    <n v="1"/>
    <n v="22"/>
    <n v="0.44"/>
    <x v="6"/>
  </r>
  <r>
    <n v="24"/>
    <n v="62"/>
    <n v="11"/>
    <x v="5"/>
    <n v="12.272727272727273"/>
    <n v="1"/>
    <n v="1062"/>
    <n v="1"/>
    <n v="22"/>
    <n v="0.35483870967741937"/>
    <x v="7"/>
  </r>
  <r>
    <n v="25"/>
    <n v="100"/>
    <n v="22"/>
    <x v="8"/>
    <n v="10"/>
    <n v="1"/>
    <n v="1077"/>
    <n v="1"/>
    <n v="44"/>
    <n v="0.44"/>
    <x v="2"/>
  </r>
  <r>
    <n v="26"/>
    <n v="30"/>
    <n v="5"/>
    <x v="6"/>
    <n v="10.833333333333332"/>
    <n v="1"/>
    <n v="103"/>
    <n v="1"/>
    <n v="12"/>
    <n v="0.4"/>
    <x v="9"/>
  </r>
  <r>
    <n v="27"/>
    <n v="25"/>
    <n v="2"/>
    <x v="6"/>
    <n v="8.3333333333333339"/>
    <n v="1"/>
    <n v="719"/>
    <n v="1"/>
    <n v="12"/>
    <n v="0.48"/>
    <x v="10"/>
  </r>
  <r>
    <n v="28"/>
    <n v="37"/>
    <n v="3"/>
    <x v="7"/>
    <n v="9.375"/>
    <n v="1"/>
    <n v="360"/>
    <n v="1"/>
    <n v="16"/>
    <n v="0.43243243243243246"/>
    <x v="11"/>
  </r>
  <r>
    <n v="29"/>
    <n v="50"/>
    <n v="2"/>
    <x v="0"/>
    <n v="9.0909090909090899"/>
    <n v="1"/>
    <n v="1073"/>
    <n v="1"/>
    <n v="22"/>
    <n v="0.44"/>
    <x v="6"/>
  </r>
  <r>
    <n v="30"/>
    <n v="49"/>
    <n v="7"/>
    <x v="3"/>
    <n v="11.666666666666668"/>
    <n v="1"/>
    <n v="371"/>
    <n v="1"/>
    <n v="18"/>
    <n v="0.36734693877551022"/>
    <x v="12"/>
  </r>
  <r>
    <n v="31"/>
    <n v="63"/>
    <n v="9"/>
    <x v="0"/>
    <n v="11.25"/>
    <n v="1"/>
    <n v="411"/>
    <n v="1"/>
    <n v="24"/>
    <n v="0.38095238095238093"/>
    <x v="0"/>
  </r>
  <r>
    <n v="32"/>
    <n v="53"/>
    <n v="4"/>
    <x v="0"/>
    <n v="9.5652173913043477"/>
    <n v="1"/>
    <n v="1045"/>
    <n v="1"/>
    <n v="23"/>
    <n v="0.43396226415094341"/>
    <x v="1"/>
  </r>
  <r>
    <n v="33"/>
    <n v="33"/>
    <n v="4"/>
    <x v="1"/>
    <n v="10"/>
    <n v="1"/>
    <n v="734"/>
    <n v="1"/>
    <n v="14"/>
    <n v="0.42424242424242425"/>
    <x v="2"/>
  </r>
  <r>
    <n v="34"/>
    <n v="56"/>
    <n v="23"/>
    <x v="2"/>
    <n v="19.285714285714285"/>
    <n v="1"/>
    <n v="46"/>
    <n v="1"/>
    <n v="14"/>
    <n v="0.25"/>
    <x v="3"/>
  </r>
  <r>
    <n v="35"/>
    <n v="41"/>
    <n v="4"/>
    <x v="3"/>
    <n v="10"/>
    <n v="1"/>
    <n v="785"/>
    <n v="1"/>
    <n v="18"/>
    <n v="0.43902439024390244"/>
    <x v="2"/>
  </r>
  <r>
    <n v="36"/>
    <n v="22"/>
    <n v="2"/>
    <x v="4"/>
    <n v="8"/>
    <n v="1"/>
    <n v="78"/>
    <n v="1"/>
    <n v="10"/>
    <n v="0.45454545454545453"/>
    <x v="4"/>
  </r>
  <r>
    <n v="37"/>
    <n v="77"/>
    <n v="16"/>
    <x v="0"/>
    <n v="13.076923076923077"/>
    <n v="1"/>
    <n v="411"/>
    <n v="1"/>
    <n v="26"/>
    <n v="0.33766233766233766"/>
    <x v="5"/>
  </r>
  <r>
    <n v="38"/>
    <n v="50"/>
    <n v="2"/>
    <x v="0"/>
    <n v="9.0909090909090899"/>
    <n v="1"/>
    <n v="1073"/>
    <n v="1"/>
    <n v="22"/>
    <n v="0.44"/>
    <x v="6"/>
  </r>
  <r>
    <n v="39"/>
    <n v="62"/>
    <n v="11"/>
    <x v="5"/>
    <n v="12.272727272727273"/>
    <n v="1"/>
    <n v="1062"/>
    <n v="1"/>
    <n v="22"/>
    <n v="0.35483870967741937"/>
    <x v="7"/>
  </r>
  <r>
    <n v="40"/>
    <n v="39"/>
    <n v="7"/>
    <x v="1"/>
    <n v="12.142857142857142"/>
    <n v="1"/>
    <n v="296"/>
    <n v="1"/>
    <n v="14"/>
    <n v="0.35897435897435898"/>
    <x v="8"/>
  </r>
  <r>
    <n v="41"/>
    <n v="30"/>
    <n v="5"/>
    <x v="6"/>
    <n v="10.833333333333332"/>
    <n v="1"/>
    <n v="103"/>
    <n v="1"/>
    <n v="12"/>
    <n v="0.4"/>
    <x v="9"/>
  </r>
  <r>
    <n v="42"/>
    <n v="25"/>
    <n v="2"/>
    <x v="6"/>
    <n v="8.3333333333333339"/>
    <n v="1"/>
    <n v="719"/>
    <n v="1"/>
    <n v="12"/>
    <n v="0.48"/>
    <x v="10"/>
  </r>
  <r>
    <n v="43"/>
    <n v="37"/>
    <n v="3"/>
    <x v="7"/>
    <n v="9.375"/>
    <n v="1"/>
    <n v="360"/>
    <n v="1"/>
    <n v="16"/>
    <n v="0.43243243243243246"/>
    <x v="11"/>
  </r>
  <r>
    <n v="44"/>
    <n v="50"/>
    <n v="2"/>
    <x v="0"/>
    <n v="9.0909090909090899"/>
    <n v="1"/>
    <n v="1073"/>
    <n v="1"/>
    <n v="22"/>
    <n v="0.44"/>
    <x v="6"/>
  </r>
  <r>
    <n v="45"/>
    <n v="49"/>
    <n v="7"/>
    <x v="3"/>
    <n v="11.666666666666668"/>
    <n v="1"/>
    <n v="371"/>
    <n v="1"/>
    <n v="18"/>
    <n v="0.36734693877551022"/>
    <x v="12"/>
  </r>
  <r>
    <n v="46"/>
    <n v="39"/>
    <n v="4"/>
    <x v="7"/>
    <n v="9.4117647058823533"/>
    <n v="1"/>
    <n v="682"/>
    <n v="1"/>
    <n v="17"/>
    <n v="0.4358974358974359"/>
    <x v="15"/>
  </r>
  <r>
    <n v="47"/>
    <n v="45"/>
    <n v="2"/>
    <x v="5"/>
    <n v="8.5714285714285712"/>
    <n v="1"/>
    <n v="1036"/>
    <n v="1"/>
    <n v="21"/>
    <n v="0.46666666666666667"/>
    <x v="16"/>
  </r>
  <r>
    <n v="48"/>
    <n v="51"/>
    <n v="15"/>
    <x v="6"/>
    <n v="15.333333333333334"/>
    <n v="1"/>
    <n v="80"/>
    <n v="1"/>
    <n v="15"/>
    <n v="0.29411764705882354"/>
    <x v="17"/>
  </r>
  <r>
    <n v="49"/>
    <n v="28"/>
    <n v="4"/>
    <x v="6"/>
    <n v="9.2307692307692317"/>
    <n v="1"/>
    <n v="299"/>
    <n v="1"/>
    <n v="13"/>
    <n v="0.4642857142857143"/>
    <x v="18"/>
  </r>
  <r>
    <n v="50"/>
    <n v="25"/>
    <n v="2"/>
    <x v="6"/>
    <n v="8.3333333333333339"/>
    <n v="1"/>
    <n v="719"/>
    <n v="1"/>
    <n v="12"/>
    <n v="0.48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n v="63"/>
    <n v="9"/>
    <n v="9"/>
    <n v="24"/>
    <n v="1.125"/>
    <s v="many cols"/>
    <s v="many tables"/>
    <x v="0"/>
    <n v="24"/>
    <n v="0.38095238095238093"/>
  </r>
  <r>
    <n v="2"/>
    <n v="53"/>
    <n v="4"/>
    <n v="9"/>
    <n v="23"/>
    <n v="0.95652173913043481"/>
    <s v="few cols"/>
    <s v="many tables"/>
    <x v="1"/>
    <n v="23"/>
    <n v="0.43396226415094341"/>
  </r>
  <r>
    <n v="3"/>
    <n v="33"/>
    <n v="4"/>
    <n v="5"/>
    <n v="14"/>
    <n v="1"/>
    <s v="few cols"/>
    <s v="few tables"/>
    <x v="2"/>
    <n v="14"/>
    <n v="0.42424242424242425"/>
  </r>
  <r>
    <n v="4"/>
    <n v="56"/>
    <n v="23"/>
    <n v="2"/>
    <n v="14"/>
    <n v="1.9285714285714286"/>
    <s v="many cols"/>
    <s v="few tables"/>
    <x v="3"/>
    <n v="14"/>
    <n v="0.25"/>
  </r>
  <r>
    <n v="5"/>
    <n v="41"/>
    <n v="4"/>
    <n v="7"/>
    <n v="18"/>
    <n v="1"/>
    <s v="few cols"/>
    <s v="many tables"/>
    <x v="1"/>
    <n v="18"/>
    <n v="0.43902439024390244"/>
  </r>
  <r>
    <n v="6"/>
    <n v="22"/>
    <n v="2"/>
    <n v="3"/>
    <n v="10"/>
    <n v="0.8"/>
    <s v="few cols"/>
    <s v="few tables"/>
    <x v="2"/>
    <n v="10"/>
    <n v="0.45454545454545453"/>
  </r>
  <r>
    <n v="7"/>
    <n v="77"/>
    <n v="16"/>
    <n v="9"/>
    <n v="26"/>
    <n v="1.3076923076923077"/>
    <s v="many cols"/>
    <s v="many tables"/>
    <x v="0"/>
    <n v="26"/>
    <n v="0.33766233766233766"/>
  </r>
  <r>
    <n v="8"/>
    <n v="50"/>
    <n v="2"/>
    <n v="9"/>
    <n v="22"/>
    <n v="0.90909090909090906"/>
    <s v="few cols"/>
    <s v="many tables"/>
    <x v="1"/>
    <n v="22"/>
    <n v="0.44"/>
  </r>
  <r>
    <n v="9"/>
    <n v="62"/>
    <n v="11"/>
    <n v="8"/>
    <n v="22"/>
    <n v="1.2272727272727273"/>
    <s v="many cols"/>
    <s v="many tables"/>
    <x v="0"/>
    <n v="22"/>
    <n v="0.35483870967741937"/>
  </r>
  <r>
    <n v="10"/>
    <n v="39"/>
    <n v="7"/>
    <n v="5"/>
    <n v="14"/>
    <n v="1.2142857142857142"/>
    <s v="many cols"/>
    <s v="few tables"/>
    <x v="3"/>
    <n v="14"/>
    <n v="0.35897435897435898"/>
  </r>
  <r>
    <n v="11"/>
    <n v="30"/>
    <n v="5"/>
    <n v="4"/>
    <n v="12"/>
    <n v="1.0833333333333333"/>
    <s v="few cols"/>
    <s v="few tables"/>
    <x v="2"/>
    <n v="12"/>
    <n v="0.4"/>
  </r>
  <r>
    <n v="12"/>
    <n v="25"/>
    <n v="2"/>
    <n v="4"/>
    <n v="12"/>
    <n v="0.83333333333333337"/>
    <s v="few cols"/>
    <s v="few tables"/>
    <x v="2"/>
    <n v="12"/>
    <n v="0.48"/>
  </r>
  <r>
    <n v="13"/>
    <n v="37"/>
    <n v="3"/>
    <n v="6"/>
    <n v="16"/>
    <n v="0.9375"/>
    <s v="few cols"/>
    <s v="few tables"/>
    <x v="2"/>
    <n v="16"/>
    <n v="0.43243243243243246"/>
  </r>
  <r>
    <n v="14"/>
    <n v="50"/>
    <n v="2"/>
    <n v="9"/>
    <n v="22"/>
    <n v="0.90909090909090906"/>
    <s v="few cols"/>
    <s v="many tables"/>
    <x v="1"/>
    <n v="22"/>
    <n v="0.44"/>
  </r>
  <r>
    <n v="15"/>
    <n v="49"/>
    <n v="7"/>
    <n v="7"/>
    <n v="18"/>
    <n v="1.1666666666666667"/>
    <s v="many cols"/>
    <s v="many tables"/>
    <x v="0"/>
    <n v="18"/>
    <n v="0.36734693877551022"/>
  </r>
  <r>
    <n v="16"/>
    <n v="38"/>
    <n v="4"/>
    <n v="6"/>
    <n v="16"/>
    <n v="1"/>
    <s v="few cols"/>
    <s v="few tables"/>
    <x v="2"/>
    <n v="16"/>
    <n v="0.42105263157894735"/>
  </r>
  <r>
    <n v="17"/>
    <n v="47"/>
    <n v="3"/>
    <n v="8"/>
    <n v="20"/>
    <n v="0.95"/>
    <s v="few cols"/>
    <s v="many tables"/>
    <x v="1"/>
    <n v="20"/>
    <n v="0.42553191489361702"/>
  </r>
  <r>
    <n v="18"/>
    <n v="47"/>
    <n v="3"/>
    <n v="8"/>
    <n v="20"/>
    <n v="0.95"/>
    <s v="few cols"/>
    <s v="many tables"/>
    <x v="1"/>
    <n v="20"/>
    <n v="0.42553191489361702"/>
  </r>
  <r>
    <n v="19"/>
    <n v="58"/>
    <n v="23"/>
    <n v="2"/>
    <n v="14"/>
    <n v="1.9285714285714286"/>
    <s v="many cols"/>
    <s v="few tables"/>
    <x v="3"/>
    <n v="14"/>
    <n v="0.2413793103448276"/>
  </r>
  <r>
    <n v="20"/>
    <n v="43"/>
    <n v="4"/>
    <n v="7"/>
    <n v="18"/>
    <n v="1"/>
    <s v="few cols"/>
    <s v="many tables"/>
    <x v="1"/>
    <n v="18"/>
    <n v="0.41860465116279072"/>
  </r>
  <r>
    <n v="21"/>
    <n v="20"/>
    <n v="2"/>
    <n v="3"/>
    <n v="9"/>
    <n v="0.88888888888888884"/>
    <s v="few cols"/>
    <s v="few tables"/>
    <x v="2"/>
    <n v="9"/>
    <n v="0.45"/>
  </r>
  <r>
    <n v="22"/>
    <n v="77"/>
    <n v="16"/>
    <n v="9"/>
    <n v="26"/>
    <n v="1.3076923076923077"/>
    <s v="many cols"/>
    <s v="many tables"/>
    <x v="0"/>
    <n v="26"/>
    <n v="0.33766233766233766"/>
  </r>
  <r>
    <n v="23"/>
    <n v="50"/>
    <n v="2"/>
    <n v="9"/>
    <n v="22"/>
    <n v="0.90909090909090906"/>
    <s v="few cols"/>
    <s v="many tables"/>
    <x v="1"/>
    <n v="22"/>
    <n v="0.44"/>
  </r>
  <r>
    <n v="24"/>
    <n v="62"/>
    <n v="11"/>
    <n v="8"/>
    <n v="22"/>
    <n v="1.2272727272727273"/>
    <s v="many cols"/>
    <s v="many tables"/>
    <x v="0"/>
    <n v="22"/>
    <n v="0.35483870967741937"/>
  </r>
  <r>
    <n v="25"/>
    <n v="100"/>
    <n v="22"/>
    <n v="11"/>
    <n v="44"/>
    <n v="1"/>
    <s v="many cols"/>
    <s v="many tables"/>
    <x v="0"/>
    <n v="44"/>
    <n v="0.44"/>
  </r>
  <r>
    <n v="26"/>
    <n v="30"/>
    <n v="5"/>
    <n v="4"/>
    <n v="12"/>
    <n v="1.0833333333333333"/>
    <s v="few cols"/>
    <s v="few tables"/>
    <x v="2"/>
    <n v="12"/>
    <n v="0.4"/>
  </r>
  <r>
    <n v="27"/>
    <n v="25"/>
    <n v="2"/>
    <n v="4"/>
    <n v="12"/>
    <n v="0.83333333333333337"/>
    <s v="few cols"/>
    <s v="few tables"/>
    <x v="2"/>
    <n v="12"/>
    <n v="0.48"/>
  </r>
  <r>
    <n v="28"/>
    <n v="37"/>
    <n v="3"/>
    <n v="6"/>
    <n v="16"/>
    <n v="0.9375"/>
    <s v="few cols"/>
    <s v="few tables"/>
    <x v="2"/>
    <n v="16"/>
    <n v="0.43243243243243246"/>
  </r>
  <r>
    <n v="29"/>
    <n v="50"/>
    <n v="2"/>
    <n v="9"/>
    <n v="22"/>
    <n v="0.90909090909090906"/>
    <s v="few cols"/>
    <s v="many tables"/>
    <x v="1"/>
    <n v="22"/>
    <n v="0.44"/>
  </r>
  <r>
    <n v="30"/>
    <n v="49"/>
    <n v="7"/>
    <n v="7"/>
    <n v="18"/>
    <n v="1.1666666666666667"/>
    <s v="many cols"/>
    <s v="many tables"/>
    <x v="0"/>
    <n v="18"/>
    <n v="0.36734693877551022"/>
  </r>
  <r>
    <n v="31"/>
    <n v="63"/>
    <n v="9"/>
    <n v="9"/>
    <n v="24"/>
    <n v="1.125"/>
    <s v="many cols"/>
    <s v="many tables"/>
    <x v="0"/>
    <n v="24"/>
    <n v="0.38095238095238093"/>
  </r>
  <r>
    <n v="32"/>
    <n v="53"/>
    <n v="4"/>
    <n v="9"/>
    <n v="23"/>
    <n v="0.95652173913043481"/>
    <s v="few cols"/>
    <s v="many tables"/>
    <x v="1"/>
    <n v="23"/>
    <n v="0.43396226415094341"/>
  </r>
  <r>
    <n v="33"/>
    <n v="33"/>
    <n v="4"/>
    <n v="5"/>
    <n v="14"/>
    <n v="1"/>
    <s v="few cols"/>
    <s v="few tables"/>
    <x v="2"/>
    <n v="14"/>
    <n v="0.42424242424242425"/>
  </r>
  <r>
    <n v="34"/>
    <n v="56"/>
    <n v="23"/>
    <n v="2"/>
    <n v="14"/>
    <n v="1.9285714285714286"/>
    <s v="many cols"/>
    <s v="few tables"/>
    <x v="3"/>
    <n v="14"/>
    <n v="0.25"/>
  </r>
  <r>
    <n v="35"/>
    <n v="41"/>
    <n v="4"/>
    <n v="7"/>
    <n v="18"/>
    <n v="1"/>
    <s v="few cols"/>
    <s v="many tables"/>
    <x v="1"/>
    <n v="18"/>
    <n v="0.43902439024390244"/>
  </r>
  <r>
    <n v="36"/>
    <n v="22"/>
    <n v="2"/>
    <n v="3"/>
    <n v="10"/>
    <n v="0.8"/>
    <s v="few cols"/>
    <s v="few tables"/>
    <x v="2"/>
    <n v="10"/>
    <n v="0.45454545454545453"/>
  </r>
  <r>
    <n v="37"/>
    <n v="77"/>
    <n v="16"/>
    <n v="9"/>
    <n v="26"/>
    <n v="1.3076923076923077"/>
    <s v="many cols"/>
    <s v="many tables"/>
    <x v="0"/>
    <n v="26"/>
    <n v="0.33766233766233766"/>
  </r>
  <r>
    <n v="38"/>
    <n v="50"/>
    <n v="2"/>
    <n v="9"/>
    <n v="22"/>
    <n v="0.90909090909090906"/>
    <s v="few cols"/>
    <s v="many tables"/>
    <x v="1"/>
    <n v="22"/>
    <n v="0.44"/>
  </r>
  <r>
    <n v="39"/>
    <n v="62"/>
    <n v="11"/>
    <n v="8"/>
    <n v="22"/>
    <n v="1.2272727272727273"/>
    <s v="many cols"/>
    <s v="many tables"/>
    <x v="0"/>
    <n v="22"/>
    <n v="0.35483870967741937"/>
  </r>
  <r>
    <n v="40"/>
    <n v="39"/>
    <n v="7"/>
    <n v="5"/>
    <n v="14"/>
    <n v="1.2142857142857142"/>
    <s v="many cols"/>
    <s v="few tables"/>
    <x v="3"/>
    <n v="14"/>
    <n v="0.35897435897435898"/>
  </r>
  <r>
    <n v="41"/>
    <n v="30"/>
    <n v="5"/>
    <n v="4"/>
    <n v="12"/>
    <n v="1.0833333333333333"/>
    <s v="few cols"/>
    <s v="few tables"/>
    <x v="2"/>
    <n v="12"/>
    <n v="0.4"/>
  </r>
  <r>
    <n v="42"/>
    <n v="25"/>
    <n v="2"/>
    <n v="4"/>
    <n v="12"/>
    <n v="0.83333333333333337"/>
    <s v="few cols"/>
    <s v="few tables"/>
    <x v="2"/>
    <n v="12"/>
    <n v="0.48"/>
  </r>
  <r>
    <n v="43"/>
    <n v="37"/>
    <n v="3"/>
    <n v="6"/>
    <n v="16"/>
    <n v="0.9375"/>
    <s v="few cols"/>
    <s v="few tables"/>
    <x v="2"/>
    <n v="16"/>
    <n v="0.43243243243243246"/>
  </r>
  <r>
    <n v="44"/>
    <n v="50"/>
    <n v="2"/>
    <n v="9"/>
    <n v="22"/>
    <n v="0.90909090909090906"/>
    <s v="few cols"/>
    <s v="many tables"/>
    <x v="1"/>
    <n v="22"/>
    <n v="0.44"/>
  </r>
  <r>
    <n v="45"/>
    <n v="49"/>
    <n v="7"/>
    <n v="7"/>
    <n v="18"/>
    <n v="1.1666666666666667"/>
    <s v="many cols"/>
    <s v="many tables"/>
    <x v="0"/>
    <n v="18"/>
    <n v="0.36734693877551022"/>
  </r>
  <r>
    <n v="46"/>
    <n v="39"/>
    <n v="4"/>
    <n v="6"/>
    <n v="17"/>
    <n v="0.94117647058823528"/>
    <s v="few cols"/>
    <s v="few tables"/>
    <x v="2"/>
    <n v="17"/>
    <n v="0.4358974358974359"/>
  </r>
  <r>
    <n v="47"/>
    <n v="45"/>
    <n v="2"/>
    <n v="8"/>
    <n v="21"/>
    <n v="0.8571428571428571"/>
    <s v="few cols"/>
    <s v="many tables"/>
    <x v="1"/>
    <n v="21"/>
    <n v="0.46666666666666667"/>
  </r>
  <r>
    <n v="48"/>
    <n v="51"/>
    <n v="15"/>
    <n v="4"/>
    <n v="15"/>
    <n v="1.5333333333333334"/>
    <s v="many cols"/>
    <s v="few tables"/>
    <x v="3"/>
    <n v="15"/>
    <n v="0.29411764705882354"/>
  </r>
  <r>
    <n v="49"/>
    <n v="28"/>
    <n v="4"/>
    <n v="4"/>
    <n v="13"/>
    <n v="0.92307692307692313"/>
    <s v="few cols"/>
    <s v="few tables"/>
    <x v="2"/>
    <n v="13"/>
    <n v="0.4642857142857143"/>
  </r>
  <r>
    <n v="50"/>
    <n v="25"/>
    <n v="2"/>
    <n v="4"/>
    <n v="12"/>
    <n v="0.83333333333333337"/>
    <s v="few cols"/>
    <s v="few tables"/>
    <x v="2"/>
    <n v="12"/>
    <n v="0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B12D8-4B05-4CE6-ACCB-2430EBA8954A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1">
    <pivotField showAll="0"/>
    <pivotField dataField="1" showAll="0"/>
    <pivotField showAll="0"/>
    <pivotField showAll="0"/>
    <pivotField dataField="1" showAll="0"/>
    <pivotField dataField="1" numFmtId="2"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numFmtId="1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RE Normalized" fld="5" subtotal="average" baseField="8" baseItem="0" numFmtId="2"/>
    <dataField name="Average of Total Executes" fld="4" subtotal="average" baseField="8" baseItem="0" numFmtId="2"/>
    <dataField name="Average of Total Steps" fld="1" subtotal="average" baseField="8" baseItem="0" numFmtId="2"/>
    <dataField name="Average of Execution Ratio (%)" fld="10" subtotal="average" baseField="8" baseItem="0" numFmtId="10"/>
  </dataFields>
  <formats count="4"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field="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94553-76E6-4AF5-A110-79D34B3D05A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3" firstHeaderRow="0" firstDataRow="1" firstDataCol="1"/>
  <pivotFields count="11">
    <pivotField showAll="0"/>
    <pivotField showAll="0"/>
    <pivotField dataField="1" showAll="0"/>
    <pivotField dataField="1" showAll="0">
      <items count="10">
        <item x="2"/>
        <item x="4"/>
        <item x="6"/>
        <item x="1"/>
        <item x="7"/>
        <item x="3"/>
        <item x="5"/>
        <item x="0"/>
        <item x="8"/>
        <item t="default"/>
      </items>
    </pivotField>
    <pivotField numFmtId="2" showAll="0"/>
    <pivotField numFmtId="10" showAll="0"/>
    <pivotField showAll="0"/>
    <pivotField numFmtId="10" showAll="0"/>
    <pivotField dataField="1" showAll="0"/>
    <pivotField dataField="1" numFmtId="10" showAll="0"/>
    <pivotField axis="axisRow" numFmtId="2" showAll="0">
      <items count="20">
        <item x="4"/>
        <item x="10"/>
        <item x="16"/>
        <item x="14"/>
        <item x="6"/>
        <item x="18"/>
        <item x="11"/>
        <item x="15"/>
        <item x="13"/>
        <item x="1"/>
        <item x="2"/>
        <item x="9"/>
        <item x="0"/>
        <item x="12"/>
        <item x="8"/>
        <item x="7"/>
        <item x="5"/>
        <item x="17"/>
        <item x="3"/>
        <item t="default"/>
      </items>
    </pivotField>
  </pivotFields>
  <rowFields count="1">
    <field x="1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ables Extracted" fld="3" subtotal="average" baseField="10" baseItem="0"/>
    <dataField name="Sum of Complexity (Cols)" fld="2" baseField="0" baseItem="0"/>
    <dataField name="Average of Total Executes" fld="8" subtotal="average" baseField="10" baseItem="0"/>
    <dataField name="Sum of Execution Ratio (%)" fld="9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665C07-61DF-41A0-B1AB-9F2282229641}" name="Table2" displayName="Table2" ref="A1:L51" totalsRowShown="0" headerRowDxfId="27" tableBorderDxfId="26">
  <autoFilter ref="A1:L51" xr:uid="{EB665C07-61DF-41A0-B1AB-9F2282229641}"/>
  <sortState xmlns:xlrd2="http://schemas.microsoft.com/office/spreadsheetml/2017/richdata2" ref="A2:L51">
    <sortCondition ref="A1:A51"/>
  </sortState>
  <tableColumns count="12">
    <tableColumn id="1" xr3:uid="{AB4B366A-8581-4D21-AE17-6D02476708D9}" name="Episode" dataDxfId="25"/>
    <tableColumn id="2" xr3:uid="{EC1E0365-60EE-4B21-8393-184F07BFFE87}" name="Total Steps" dataDxfId="24"/>
    <tableColumn id="3" xr3:uid="{A30B0076-87D2-48CD-8975-168CBE09C663}" name="Columns" dataDxfId="23"/>
    <tableColumn id="4" xr3:uid="{4026C832-679C-446F-947D-E5C7572E0064}" name="Tables Extracted" dataDxfId="22"/>
    <tableColumn id="5" xr3:uid="{C0BC9347-4257-4BD1-AAEF-E2DA03523447}" name="Structural Resolution Efficiency (SRE)" dataDxfId="21">
      <calculatedColumnFormula>(SUM((C2+(2*D2))/I2)*10)</calculatedColumnFormula>
    </tableColumn>
    <tableColumn id="6" xr3:uid="{F7542823-15A2-450F-AB77-716490EB4A9E}" name="Table Extract Percentage" dataDxfId="20"/>
    <tableColumn id="7" xr3:uid="{E6EB1ECB-ECDD-4C4D-B093-13D96ED18180}" name="Rows Extracted" dataDxfId="19"/>
    <tableColumn id="8" xr3:uid="{03A307C9-D838-4F51-AA47-DF0443AE0A9B}" name="Row Extract Percentage" dataDxfId="18"/>
    <tableColumn id="9" xr3:uid="{9D6860DF-DBE0-4E82-8B73-4A466C29DDC7}" name="Total Executes" dataDxfId="17"/>
    <tableColumn id="10" xr3:uid="{563928F4-FA7D-41C0-BE28-5D5DCA917366}" name="Execution Ratio (%)" dataDxfId="16">
      <calculatedColumnFormula>(SUM(I2/B2))</calculatedColumnFormula>
    </tableColumn>
    <tableColumn id="11" xr3:uid="{18A18473-2E5C-4CCA-842E-68CBD365188C}" name="SRE Normalized" dataDxfId="15">
      <calculatedColumnFormula>(SUM((C2+(2*D2))/I2))</calculatedColumnFormula>
    </tableColumn>
    <tableColumn id="12" xr3:uid="{7B646FB1-27CD-4A56-971B-4EE334618F95}" name="SR" dataDxfId="14">
      <calculatedColumnFormula>SUM(Table2[[#This Row],[Columns]]+(2*Table2[[#This Row],[Tables Extracted]]))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B37723-66F1-4189-B817-445AFFDF307B}" name="Table1" displayName="Table1" ref="A1:K51" totalsRowShown="0" headerRowDxfId="9" tableBorderDxfId="8">
  <autoFilter ref="A1:K51" xr:uid="{62B37723-66F1-4189-B817-445AFFDF307B}"/>
  <tableColumns count="11">
    <tableColumn id="1" xr3:uid="{4D3BD69B-B6E6-4524-85AE-A21869BB5FFE}" name="Episode" dataDxfId="7"/>
    <tableColumn id="2" xr3:uid="{7B2B5796-F5AE-4C5A-BA3A-B1DE084B2995}" name="Total Steps" dataDxfId="6"/>
    <tableColumn id="3" xr3:uid="{4D08BB98-6C84-42ED-8AA5-022B6E8B3A3F}" name="Complexity (Cols)" dataDxfId="5"/>
    <tableColumn id="4" xr3:uid="{96F32907-8A31-4EAA-A826-E326170B5288}" name="Tables Extracted" dataDxfId="4"/>
    <tableColumn id="5" xr3:uid="{97551F9E-EFAD-4FCD-B900-F5C52C9EC4CA}" name="Total Executes" dataDxfId="3"/>
    <tableColumn id="6" xr3:uid="{04852F29-5A46-4071-BA4F-DBE2F81E7F91}" name="SRE Normalized" dataDxfId="2">
      <calculatedColumnFormula>(SUM((Table1[[#This Row],[Complexity (Cols)]]+(2*Table1[[#This Row],[Tables Extracted]]))/Table1[[#This Row],[Total Executes2]]))</calculatedColumnFormula>
    </tableColumn>
    <tableColumn id="7" xr3:uid="{DDC758F9-7230-4A46-931F-DCED08548D7D}" name="COLS_GROUP">
      <calculatedColumnFormula>IF(C2&lt;=$O$3,"few cols", "many cols")</calculatedColumnFormula>
    </tableColumn>
    <tableColumn id="8" xr3:uid="{507BE397-2EB9-42FF-8736-03CE4569E69B}" name="TABLES_GROUP">
      <calculatedColumnFormula>IF(D2&lt;=$O$4,"few tables", "many tables")</calculatedColumnFormula>
    </tableColumn>
    <tableColumn id="9" xr3:uid="{35BF8044-81BB-4297-83A9-449FFED76DFC}" name="Group">
      <calculatedColumnFormula>_xlfn.CONCAT(G2,",",H2)</calculatedColumnFormula>
    </tableColumn>
    <tableColumn id="10" xr3:uid="{FD5492B1-3BA7-4EC6-B58F-3031C24F39BF}" name="Total Executes2" dataDxfId="1"/>
    <tableColumn id="11" xr3:uid="{1DD88BD5-CE85-4BB0-B2C3-3E8229DA73A8}" name="Execution Ratio (%)" dataDxfId="0">
      <calculatedColumnFormula>(SUM(Table1[[#This Row],[Total Executes2]]/Table1[[#This Row],[Total Steps]]))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65E36C-5CB7-4B81-A9F2-E456ED4CA729}" name="Table3" displayName="Table3" ref="A1:M6" totalsRowShown="0" headerRowDxfId="34">
  <autoFilter ref="A1:M6" xr:uid="{5065E36C-5CB7-4B81-A9F2-E456ED4CA729}"/>
  <tableColumns count="13">
    <tableColumn id="1" xr3:uid="{B284E59F-8469-431F-BB29-848F62EC7886}" name="Target"/>
    <tableColumn id="9" xr3:uid="{DA190CFB-7929-4980-86B6-F739D3398C3F}" name="Endpoint"/>
    <tableColumn id="7" xr3:uid="{CD7560C4-3E63-459F-A022-CCD64D1EA326}" name="Dbms"/>
    <tableColumn id="10" xr3:uid="{5B1B8745-3895-4898-A10F-F8E6B1BE085A}" name="Sqlmap Total Packets"/>
    <tableColumn id="2" xr3:uid="{499297CB-AE19-46F1-B2DE-1B5B15D0F681}" name="sqlmap total requests"/>
    <tableColumn id="3" xr3:uid="{A8A68FB9-68D6-4C3D-B51F-0EEA087D4ABA}" name="sqlmap first data" dataDxfId="33"/>
    <tableColumn id="8" xr3:uid="{6F7CA348-8A9A-4B05-B531-C34844C2F2D8}" name="Torje Total Packets"/>
    <tableColumn id="4" xr3:uid="{04D9E9FB-F74F-4B04-96E7-6F7ACEDFC0DA}" name="TORJE Total Req"/>
    <tableColumn id="12" xr3:uid="{C9282E5D-D317-4EA2-895E-7AF215357EA3}" name="TORJE first data" dataDxfId="32"/>
    <tableColumn id="5" xr3:uid="{7E1CD8BE-C4A9-4C14-96D5-50CBB9805392}" name="Eff. Ratio" dataDxfId="31">
      <calculatedColumnFormula>SUM(Table3[[#This Row],[sqlmap total requests]]/Table3[[#This Row],[TORJE Total Req]])</calculatedColumnFormula>
    </tableColumn>
    <tableColumn id="6" xr3:uid="{66908A67-4793-49D4-9FF0-A4ED5FA73610}" name="Time-To-first data" dataDxfId="30">
      <calculatedColumnFormula>SUM(Table3[[#This Row],[sqlmap first data]]/Table3[[#This Row],[TORJE first data]])</calculatedColumnFormula>
    </tableColumn>
    <tableColumn id="13" xr3:uid="{C31DCFEF-0C34-4A3C-BBA4-08A9158DC093}" name="Rel Eff. Ratio impr" dataDxfId="29">
      <calculatedColumnFormula>1-(Table3[[#This Row],[TORJE Total Req]]/Table3[[#This Row],[sqlmap total requests]])</calculatedColumnFormula>
    </tableColumn>
    <tableColumn id="14" xr3:uid="{52C82662-C52E-494A-B60F-8CE9706BEE6E}" name="Rel TTFD impo" dataDxfId="28">
      <calculatedColumnFormula>1-(Table3[[#This Row],[TORJE first data]]/Table3[[#This Row],[sqlmap first data]])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11FA0A-9A29-45B1-AE85-638A32273C0F}" name="Table4" displayName="Table4" ref="A1:B27" totalsRowShown="0">
  <autoFilter ref="A1:B27" xr:uid="{BD11FA0A-9A29-45B1-AE85-638A32273C0F}"/>
  <tableColumns count="2">
    <tableColumn id="1" xr3:uid="{9D11B9AE-668A-4296-851E-184E218C32F0}" name="Database"/>
    <tableColumn id="2" xr3:uid="{4E74C6A9-B687-48FB-9B86-4AA80A07C36C}" name="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0F3C-9723-46F6-B9D8-F4EDB4F856B2}">
  <dimension ref="A1:P90"/>
  <sheetViews>
    <sheetView tabSelected="1" zoomScale="70" zoomScaleNormal="70" workbookViewId="0">
      <selection activeCell="AH23" sqref="AH23"/>
    </sheetView>
  </sheetViews>
  <sheetFormatPr defaultRowHeight="14.5" x14ac:dyDescent="0.35"/>
  <cols>
    <col min="1" max="1" width="11.08984375" customWidth="1"/>
    <col min="2" max="2" width="14.6328125" customWidth="1"/>
    <col min="3" max="3" width="20.90625" customWidth="1"/>
    <col min="4" max="4" width="19.6328125" customWidth="1"/>
    <col min="5" max="5" width="41.08984375" customWidth="1"/>
    <col min="6" max="6" width="28.08984375" customWidth="1"/>
    <col min="7" max="7" width="18.54296875" customWidth="1"/>
    <col min="8" max="8" width="29.08984375" customWidth="1"/>
    <col min="9" max="9" width="17.90625" customWidth="1"/>
    <col min="10" max="10" width="22.6328125" customWidth="1"/>
    <col min="11" max="11" width="19.08984375" customWidth="1"/>
  </cols>
  <sheetData>
    <row r="1" spans="1:12" ht="15" thickBot="1" x14ac:dyDescent="0.4">
      <c r="A1" s="12" t="s">
        <v>0</v>
      </c>
      <c r="B1" s="1" t="s">
        <v>1</v>
      </c>
      <c r="C1" s="1" t="s">
        <v>93</v>
      </c>
      <c r="D1" s="1" t="s">
        <v>3</v>
      </c>
      <c r="E1" s="1" t="s">
        <v>12</v>
      </c>
      <c r="F1" s="1" t="s">
        <v>7</v>
      </c>
      <c r="G1" s="1" t="s">
        <v>5</v>
      </c>
      <c r="H1" s="5" t="s">
        <v>8</v>
      </c>
      <c r="I1" s="1" t="s">
        <v>4</v>
      </c>
      <c r="J1" s="1" t="s">
        <v>13</v>
      </c>
      <c r="K1" s="15" t="s">
        <v>14</v>
      </c>
      <c r="L1" s="8" t="s">
        <v>31</v>
      </c>
    </row>
    <row r="2" spans="1:12" ht="15" thickBot="1" x14ac:dyDescent="0.4">
      <c r="A2" s="13">
        <v>1</v>
      </c>
      <c r="B2" s="2">
        <v>63</v>
      </c>
      <c r="C2" s="2">
        <v>9</v>
      </c>
      <c r="D2" s="2">
        <v>9</v>
      </c>
      <c r="E2" s="7">
        <f t="shared" ref="E2:E33" si="0">(SUM((C2+(2*D2))/I2)*10)</f>
        <v>11.25</v>
      </c>
      <c r="F2" s="4">
        <v>1</v>
      </c>
      <c r="G2" s="2">
        <v>411</v>
      </c>
      <c r="H2" s="4">
        <v>1</v>
      </c>
      <c r="I2" s="2">
        <v>24</v>
      </c>
      <c r="J2" s="4">
        <f t="shared" ref="J2:J33" si="1">(SUM(I2/B2))</f>
        <v>0.38095238095238093</v>
      </c>
      <c r="K2" s="16">
        <f t="shared" ref="K2:K33" si="2">(SUM((C2+(2*D2))/I2))</f>
        <v>1.125</v>
      </c>
      <c r="L2">
        <f>SUM(Table2[[#This Row],[Columns]]+(2*Table2[[#This Row],[Tables Extracted]]))</f>
        <v>27</v>
      </c>
    </row>
    <row r="3" spans="1:12" ht="15" thickBot="1" x14ac:dyDescent="0.4">
      <c r="A3" s="13">
        <v>2</v>
      </c>
      <c r="B3" s="2">
        <v>53</v>
      </c>
      <c r="C3" s="2">
        <v>4</v>
      </c>
      <c r="D3" s="2">
        <v>9</v>
      </c>
      <c r="E3" s="7">
        <f t="shared" si="0"/>
        <v>9.5652173913043477</v>
      </c>
      <c r="F3" s="4">
        <v>1</v>
      </c>
      <c r="G3" s="2">
        <v>1045</v>
      </c>
      <c r="H3" s="4">
        <v>1</v>
      </c>
      <c r="I3" s="2">
        <v>23</v>
      </c>
      <c r="J3" s="4">
        <f t="shared" si="1"/>
        <v>0.43396226415094341</v>
      </c>
      <c r="K3" s="16">
        <f t="shared" si="2"/>
        <v>0.95652173913043481</v>
      </c>
      <c r="L3">
        <f>SUM(Table2[[#This Row],[Columns]]+(2*Table2[[#This Row],[Tables Extracted]]))</f>
        <v>22</v>
      </c>
    </row>
    <row r="4" spans="1:12" ht="15" thickBot="1" x14ac:dyDescent="0.4">
      <c r="A4" s="13">
        <v>3</v>
      </c>
      <c r="B4" s="2">
        <v>33</v>
      </c>
      <c r="C4" s="2">
        <v>4</v>
      </c>
      <c r="D4" s="2">
        <v>5</v>
      </c>
      <c r="E4" s="7">
        <f t="shared" si="0"/>
        <v>10</v>
      </c>
      <c r="F4" s="4">
        <v>1</v>
      </c>
      <c r="G4" s="2">
        <v>734</v>
      </c>
      <c r="H4" s="4">
        <v>1</v>
      </c>
      <c r="I4" s="2">
        <v>14</v>
      </c>
      <c r="J4" s="4">
        <f t="shared" si="1"/>
        <v>0.42424242424242425</v>
      </c>
      <c r="K4" s="16">
        <f t="shared" si="2"/>
        <v>1</v>
      </c>
      <c r="L4">
        <f>SUM(Table2[[#This Row],[Columns]]+(2*Table2[[#This Row],[Tables Extracted]]))</f>
        <v>14</v>
      </c>
    </row>
    <row r="5" spans="1:12" ht="15" thickBot="1" x14ac:dyDescent="0.4">
      <c r="A5" s="13">
        <v>4</v>
      </c>
      <c r="B5" s="2">
        <v>56</v>
      </c>
      <c r="C5" s="2">
        <v>23</v>
      </c>
      <c r="D5" s="2">
        <v>2</v>
      </c>
      <c r="E5" s="7">
        <f t="shared" si="0"/>
        <v>19.285714285714285</v>
      </c>
      <c r="F5" s="4">
        <v>1</v>
      </c>
      <c r="G5" s="2">
        <v>46</v>
      </c>
      <c r="H5" s="4">
        <v>1</v>
      </c>
      <c r="I5" s="2">
        <v>14</v>
      </c>
      <c r="J5" s="4">
        <f t="shared" si="1"/>
        <v>0.25</v>
      </c>
      <c r="K5" s="16">
        <f t="shared" si="2"/>
        <v>1.9285714285714286</v>
      </c>
      <c r="L5">
        <f>SUM(Table2[[#This Row],[Columns]]+(2*Table2[[#This Row],[Tables Extracted]]))</f>
        <v>27</v>
      </c>
    </row>
    <row r="6" spans="1:12" ht="15" thickBot="1" x14ac:dyDescent="0.4">
      <c r="A6" s="13">
        <v>5</v>
      </c>
      <c r="B6" s="2">
        <v>41</v>
      </c>
      <c r="C6" s="2">
        <v>4</v>
      </c>
      <c r="D6" s="2">
        <v>7</v>
      </c>
      <c r="E6" s="7">
        <f t="shared" si="0"/>
        <v>10</v>
      </c>
      <c r="F6" s="4">
        <v>1</v>
      </c>
      <c r="G6" s="2">
        <v>785</v>
      </c>
      <c r="H6" s="4">
        <v>1</v>
      </c>
      <c r="I6" s="2">
        <v>18</v>
      </c>
      <c r="J6" s="4">
        <f t="shared" si="1"/>
        <v>0.43902439024390244</v>
      </c>
      <c r="K6" s="16">
        <f t="shared" si="2"/>
        <v>1</v>
      </c>
      <c r="L6">
        <f>SUM(Table2[[#This Row],[Columns]]+(2*Table2[[#This Row],[Tables Extracted]]))</f>
        <v>18</v>
      </c>
    </row>
    <row r="7" spans="1:12" ht="15" thickBot="1" x14ac:dyDescent="0.4">
      <c r="A7" s="13">
        <v>6</v>
      </c>
      <c r="B7" s="2">
        <v>22</v>
      </c>
      <c r="C7" s="2">
        <v>2</v>
      </c>
      <c r="D7" s="2">
        <v>3</v>
      </c>
      <c r="E7" s="7">
        <f t="shared" si="0"/>
        <v>8</v>
      </c>
      <c r="F7" s="4">
        <v>1</v>
      </c>
      <c r="G7" s="2">
        <v>78</v>
      </c>
      <c r="H7" s="4">
        <v>1</v>
      </c>
      <c r="I7" s="2">
        <v>10</v>
      </c>
      <c r="J7" s="4">
        <f t="shared" si="1"/>
        <v>0.45454545454545453</v>
      </c>
      <c r="K7" s="16">
        <f t="shared" si="2"/>
        <v>0.8</v>
      </c>
      <c r="L7">
        <f>SUM(Table2[[#This Row],[Columns]]+(2*Table2[[#This Row],[Tables Extracted]]))</f>
        <v>8</v>
      </c>
    </row>
    <row r="8" spans="1:12" ht="15" thickBot="1" x14ac:dyDescent="0.4">
      <c r="A8" s="13">
        <v>7</v>
      </c>
      <c r="B8" s="2">
        <v>77</v>
      </c>
      <c r="C8" s="2">
        <v>16</v>
      </c>
      <c r="D8" s="2">
        <v>9</v>
      </c>
      <c r="E8" s="7">
        <f t="shared" si="0"/>
        <v>13.076923076923077</v>
      </c>
      <c r="F8" s="4">
        <v>1</v>
      </c>
      <c r="G8" s="2">
        <v>411</v>
      </c>
      <c r="H8" s="4">
        <v>1</v>
      </c>
      <c r="I8" s="2">
        <v>26</v>
      </c>
      <c r="J8" s="4">
        <f t="shared" si="1"/>
        <v>0.33766233766233766</v>
      </c>
      <c r="K8" s="16">
        <f t="shared" si="2"/>
        <v>1.3076923076923077</v>
      </c>
      <c r="L8">
        <f>SUM(Table2[[#This Row],[Columns]]+(2*Table2[[#This Row],[Tables Extracted]]))</f>
        <v>34</v>
      </c>
    </row>
    <row r="9" spans="1:12" ht="15" thickBot="1" x14ac:dyDescent="0.4">
      <c r="A9" s="13">
        <v>8</v>
      </c>
      <c r="B9" s="2">
        <v>50</v>
      </c>
      <c r="C9" s="2">
        <v>2</v>
      </c>
      <c r="D9" s="2">
        <v>9</v>
      </c>
      <c r="E9" s="7">
        <f t="shared" si="0"/>
        <v>9.0909090909090899</v>
      </c>
      <c r="F9" s="4">
        <v>1</v>
      </c>
      <c r="G9" s="2">
        <v>1073</v>
      </c>
      <c r="H9" s="4">
        <v>1</v>
      </c>
      <c r="I9" s="2">
        <v>22</v>
      </c>
      <c r="J9" s="4">
        <f t="shared" si="1"/>
        <v>0.44</v>
      </c>
      <c r="K9" s="16">
        <f t="shared" si="2"/>
        <v>0.90909090909090906</v>
      </c>
      <c r="L9">
        <f>SUM(Table2[[#This Row],[Columns]]+(2*Table2[[#This Row],[Tables Extracted]]))</f>
        <v>20</v>
      </c>
    </row>
    <row r="10" spans="1:12" ht="15" thickBot="1" x14ac:dyDescent="0.4">
      <c r="A10" s="13">
        <v>9</v>
      </c>
      <c r="B10" s="2">
        <v>62</v>
      </c>
      <c r="C10" s="2">
        <v>11</v>
      </c>
      <c r="D10" s="2">
        <v>8</v>
      </c>
      <c r="E10" s="7">
        <f t="shared" si="0"/>
        <v>12.272727272727273</v>
      </c>
      <c r="F10" s="4">
        <v>1</v>
      </c>
      <c r="G10" s="2">
        <v>1062</v>
      </c>
      <c r="H10" s="4">
        <v>1</v>
      </c>
      <c r="I10" s="2">
        <v>22</v>
      </c>
      <c r="J10" s="4">
        <f t="shared" si="1"/>
        <v>0.35483870967741937</v>
      </c>
      <c r="K10" s="16">
        <f t="shared" si="2"/>
        <v>1.2272727272727273</v>
      </c>
      <c r="L10">
        <f>SUM(Table2[[#This Row],[Columns]]+(2*Table2[[#This Row],[Tables Extracted]]))</f>
        <v>27</v>
      </c>
    </row>
    <row r="11" spans="1:12" ht="15" thickBot="1" x14ac:dyDescent="0.4">
      <c r="A11" s="13">
        <v>10</v>
      </c>
      <c r="B11" s="2">
        <v>39</v>
      </c>
      <c r="C11" s="2">
        <v>7</v>
      </c>
      <c r="D11" s="2">
        <v>5</v>
      </c>
      <c r="E11" s="7">
        <f t="shared" si="0"/>
        <v>12.142857142857142</v>
      </c>
      <c r="F11" s="4">
        <v>1</v>
      </c>
      <c r="G11" s="2">
        <v>296</v>
      </c>
      <c r="H11" s="4">
        <v>1</v>
      </c>
      <c r="I11" s="2">
        <v>14</v>
      </c>
      <c r="J11" s="4">
        <f t="shared" si="1"/>
        <v>0.35897435897435898</v>
      </c>
      <c r="K11" s="16">
        <f t="shared" si="2"/>
        <v>1.2142857142857142</v>
      </c>
      <c r="L11">
        <f>SUM(Table2[[#This Row],[Columns]]+(2*Table2[[#This Row],[Tables Extracted]]))</f>
        <v>17</v>
      </c>
    </row>
    <row r="12" spans="1:12" ht="15" thickBot="1" x14ac:dyDescent="0.4">
      <c r="A12" s="13">
        <v>11</v>
      </c>
      <c r="B12" s="2">
        <v>30</v>
      </c>
      <c r="C12" s="2">
        <v>5</v>
      </c>
      <c r="D12" s="2">
        <v>4</v>
      </c>
      <c r="E12" s="7">
        <f t="shared" si="0"/>
        <v>10.833333333333332</v>
      </c>
      <c r="F12" s="4">
        <v>1</v>
      </c>
      <c r="G12" s="2">
        <v>103</v>
      </c>
      <c r="H12" s="4">
        <v>1</v>
      </c>
      <c r="I12" s="2">
        <v>12</v>
      </c>
      <c r="J12" s="4">
        <f t="shared" si="1"/>
        <v>0.4</v>
      </c>
      <c r="K12" s="16">
        <f t="shared" si="2"/>
        <v>1.0833333333333333</v>
      </c>
      <c r="L12">
        <f>SUM(Table2[[#This Row],[Columns]]+(2*Table2[[#This Row],[Tables Extracted]]))</f>
        <v>13</v>
      </c>
    </row>
    <row r="13" spans="1:12" ht="15" thickBot="1" x14ac:dyDescent="0.4">
      <c r="A13" s="13">
        <v>12</v>
      </c>
      <c r="B13" s="2">
        <v>25</v>
      </c>
      <c r="C13" s="2">
        <v>2</v>
      </c>
      <c r="D13" s="2">
        <v>4</v>
      </c>
      <c r="E13" s="7">
        <f t="shared" si="0"/>
        <v>8.3333333333333339</v>
      </c>
      <c r="F13" s="4">
        <v>1</v>
      </c>
      <c r="G13" s="2">
        <v>719</v>
      </c>
      <c r="H13" s="4">
        <v>1</v>
      </c>
      <c r="I13" s="2">
        <v>12</v>
      </c>
      <c r="J13" s="4">
        <f t="shared" si="1"/>
        <v>0.48</v>
      </c>
      <c r="K13" s="16">
        <f t="shared" si="2"/>
        <v>0.83333333333333337</v>
      </c>
      <c r="L13">
        <f>SUM(Table2[[#This Row],[Columns]]+(2*Table2[[#This Row],[Tables Extracted]]))</f>
        <v>10</v>
      </c>
    </row>
    <row r="14" spans="1:12" ht="15" thickBot="1" x14ac:dyDescent="0.4">
      <c r="A14" s="13">
        <v>13</v>
      </c>
      <c r="B14" s="2">
        <v>37</v>
      </c>
      <c r="C14" s="2">
        <v>3</v>
      </c>
      <c r="D14" s="2">
        <v>6</v>
      </c>
      <c r="E14" s="7">
        <f t="shared" si="0"/>
        <v>9.375</v>
      </c>
      <c r="F14" s="4">
        <v>1</v>
      </c>
      <c r="G14" s="2">
        <v>360</v>
      </c>
      <c r="H14" s="4">
        <v>1</v>
      </c>
      <c r="I14" s="2">
        <v>16</v>
      </c>
      <c r="J14" s="4">
        <f t="shared" si="1"/>
        <v>0.43243243243243246</v>
      </c>
      <c r="K14" s="16">
        <f t="shared" si="2"/>
        <v>0.9375</v>
      </c>
      <c r="L14">
        <f>SUM(Table2[[#This Row],[Columns]]+(2*Table2[[#This Row],[Tables Extracted]]))</f>
        <v>15</v>
      </c>
    </row>
    <row r="15" spans="1:12" ht="15" thickBot="1" x14ac:dyDescent="0.4">
      <c r="A15" s="13">
        <v>14</v>
      </c>
      <c r="B15" s="2">
        <v>50</v>
      </c>
      <c r="C15" s="2">
        <v>2</v>
      </c>
      <c r="D15" s="2">
        <v>9</v>
      </c>
      <c r="E15" s="7">
        <f t="shared" si="0"/>
        <v>9.0909090909090899</v>
      </c>
      <c r="F15" s="4">
        <v>1</v>
      </c>
      <c r="G15" s="2">
        <v>1073</v>
      </c>
      <c r="H15" s="4">
        <v>1</v>
      </c>
      <c r="I15" s="2">
        <v>22</v>
      </c>
      <c r="J15" s="4">
        <f t="shared" si="1"/>
        <v>0.44</v>
      </c>
      <c r="K15" s="16">
        <f t="shared" si="2"/>
        <v>0.90909090909090906</v>
      </c>
      <c r="L15">
        <f>SUM(Table2[[#This Row],[Columns]]+(2*Table2[[#This Row],[Tables Extracted]]))</f>
        <v>20</v>
      </c>
    </row>
    <row r="16" spans="1:12" ht="15" thickBot="1" x14ac:dyDescent="0.4">
      <c r="A16" s="13">
        <v>15</v>
      </c>
      <c r="B16" s="2">
        <v>49</v>
      </c>
      <c r="C16" s="2">
        <v>7</v>
      </c>
      <c r="D16" s="2">
        <v>7</v>
      </c>
      <c r="E16" s="7">
        <f t="shared" si="0"/>
        <v>11.666666666666668</v>
      </c>
      <c r="F16" s="4">
        <v>1</v>
      </c>
      <c r="G16" s="2">
        <v>371</v>
      </c>
      <c r="H16" s="4">
        <v>1</v>
      </c>
      <c r="I16" s="2">
        <v>18</v>
      </c>
      <c r="J16" s="4">
        <f t="shared" si="1"/>
        <v>0.36734693877551022</v>
      </c>
      <c r="K16" s="16">
        <f t="shared" si="2"/>
        <v>1.1666666666666667</v>
      </c>
      <c r="L16">
        <f>SUM(Table2[[#This Row],[Columns]]+(2*Table2[[#This Row],[Tables Extracted]]))</f>
        <v>21</v>
      </c>
    </row>
    <row r="17" spans="1:12" ht="15" thickBot="1" x14ac:dyDescent="0.4">
      <c r="A17" s="13">
        <v>16</v>
      </c>
      <c r="B17" s="2">
        <v>38</v>
      </c>
      <c r="C17" s="2">
        <v>4</v>
      </c>
      <c r="D17" s="2">
        <v>6</v>
      </c>
      <c r="E17" s="7">
        <f t="shared" si="0"/>
        <v>10</v>
      </c>
      <c r="F17" s="4">
        <v>1</v>
      </c>
      <c r="G17" s="2">
        <v>999</v>
      </c>
      <c r="H17" s="4">
        <v>1</v>
      </c>
      <c r="I17" s="2">
        <v>16</v>
      </c>
      <c r="J17" s="4">
        <f t="shared" si="1"/>
        <v>0.42105263157894735</v>
      </c>
      <c r="K17" s="16">
        <f t="shared" si="2"/>
        <v>1</v>
      </c>
      <c r="L17">
        <f>SUM(Table2[[#This Row],[Columns]]+(2*Table2[[#This Row],[Tables Extracted]]))</f>
        <v>16</v>
      </c>
    </row>
    <row r="18" spans="1:12" ht="15" thickBot="1" x14ac:dyDescent="0.4">
      <c r="A18" s="13">
        <v>17</v>
      </c>
      <c r="B18" s="2">
        <v>47</v>
      </c>
      <c r="C18" s="2">
        <v>3</v>
      </c>
      <c r="D18" s="2">
        <v>8</v>
      </c>
      <c r="E18" s="7">
        <f t="shared" si="0"/>
        <v>9.5</v>
      </c>
      <c r="F18" s="4">
        <v>1</v>
      </c>
      <c r="G18" s="2">
        <v>816</v>
      </c>
      <c r="H18" s="4">
        <v>1</v>
      </c>
      <c r="I18" s="2">
        <v>20</v>
      </c>
      <c r="J18" s="4">
        <f t="shared" si="1"/>
        <v>0.42553191489361702</v>
      </c>
      <c r="K18" s="16">
        <f t="shared" si="2"/>
        <v>0.95</v>
      </c>
      <c r="L18">
        <f>SUM(Table2[[#This Row],[Columns]]+(2*Table2[[#This Row],[Tables Extracted]]))</f>
        <v>19</v>
      </c>
    </row>
    <row r="19" spans="1:12" ht="15" thickBot="1" x14ac:dyDescent="0.4">
      <c r="A19" s="13">
        <v>18</v>
      </c>
      <c r="B19" s="2">
        <v>47</v>
      </c>
      <c r="C19" s="2">
        <v>3</v>
      </c>
      <c r="D19" s="2">
        <v>8</v>
      </c>
      <c r="E19" s="7">
        <f t="shared" si="0"/>
        <v>9.5</v>
      </c>
      <c r="F19" s="4">
        <v>1</v>
      </c>
      <c r="G19" s="2">
        <v>1062</v>
      </c>
      <c r="H19" s="4">
        <v>1</v>
      </c>
      <c r="I19" s="2">
        <v>20</v>
      </c>
      <c r="J19" s="4">
        <f t="shared" si="1"/>
        <v>0.42553191489361702</v>
      </c>
      <c r="K19" s="16">
        <f t="shared" si="2"/>
        <v>0.95</v>
      </c>
      <c r="L19">
        <f>SUM(Table2[[#This Row],[Columns]]+(2*Table2[[#This Row],[Tables Extracted]]))</f>
        <v>19</v>
      </c>
    </row>
    <row r="20" spans="1:12" ht="15" thickBot="1" x14ac:dyDescent="0.4">
      <c r="A20" s="13">
        <v>19</v>
      </c>
      <c r="B20" s="2">
        <v>58</v>
      </c>
      <c r="C20" s="2">
        <v>23</v>
      </c>
      <c r="D20" s="2">
        <v>2</v>
      </c>
      <c r="E20" s="7">
        <f t="shared" si="0"/>
        <v>19.285714285714285</v>
      </c>
      <c r="F20" s="4">
        <v>1</v>
      </c>
      <c r="G20" s="2">
        <v>46</v>
      </c>
      <c r="H20" s="4">
        <v>1</v>
      </c>
      <c r="I20" s="2">
        <v>14</v>
      </c>
      <c r="J20" s="4">
        <f t="shared" si="1"/>
        <v>0.2413793103448276</v>
      </c>
      <c r="K20" s="16">
        <f t="shared" si="2"/>
        <v>1.9285714285714286</v>
      </c>
      <c r="L20">
        <f>SUM(Table2[[#This Row],[Columns]]+(2*Table2[[#This Row],[Tables Extracted]]))</f>
        <v>27</v>
      </c>
    </row>
    <row r="21" spans="1:12" ht="15" thickBot="1" x14ac:dyDescent="0.4">
      <c r="A21" s="13">
        <v>20</v>
      </c>
      <c r="B21" s="2">
        <v>43</v>
      </c>
      <c r="C21" s="2">
        <v>4</v>
      </c>
      <c r="D21" s="2">
        <v>7</v>
      </c>
      <c r="E21" s="7">
        <f t="shared" si="0"/>
        <v>10</v>
      </c>
      <c r="F21" s="4">
        <v>1</v>
      </c>
      <c r="G21" s="2">
        <v>785</v>
      </c>
      <c r="H21" s="4">
        <v>1</v>
      </c>
      <c r="I21" s="2">
        <v>18</v>
      </c>
      <c r="J21" s="4">
        <f t="shared" si="1"/>
        <v>0.41860465116279072</v>
      </c>
      <c r="K21" s="16">
        <f t="shared" si="2"/>
        <v>1</v>
      </c>
      <c r="L21">
        <f>SUM(Table2[[#This Row],[Columns]]+(2*Table2[[#This Row],[Tables Extracted]]))</f>
        <v>18</v>
      </c>
    </row>
    <row r="22" spans="1:12" ht="15" thickBot="1" x14ac:dyDescent="0.4">
      <c r="A22" s="13">
        <v>21</v>
      </c>
      <c r="B22" s="2">
        <v>20</v>
      </c>
      <c r="C22" s="2">
        <v>2</v>
      </c>
      <c r="D22" s="2">
        <v>3</v>
      </c>
      <c r="E22" s="7">
        <f t="shared" si="0"/>
        <v>8.8888888888888893</v>
      </c>
      <c r="F22" s="4">
        <v>1</v>
      </c>
      <c r="G22" s="2">
        <v>78</v>
      </c>
      <c r="H22" s="4">
        <v>1</v>
      </c>
      <c r="I22" s="2">
        <v>9</v>
      </c>
      <c r="J22" s="4">
        <f t="shared" si="1"/>
        <v>0.45</v>
      </c>
      <c r="K22" s="16">
        <f t="shared" si="2"/>
        <v>0.88888888888888884</v>
      </c>
      <c r="L22">
        <f>SUM(Table2[[#This Row],[Columns]]+(2*Table2[[#This Row],[Tables Extracted]]))</f>
        <v>8</v>
      </c>
    </row>
    <row r="23" spans="1:12" ht="15" thickBot="1" x14ac:dyDescent="0.4">
      <c r="A23" s="13">
        <v>22</v>
      </c>
      <c r="B23" s="2">
        <v>77</v>
      </c>
      <c r="C23" s="2">
        <v>16</v>
      </c>
      <c r="D23" s="2">
        <v>9</v>
      </c>
      <c r="E23" s="7">
        <f t="shared" si="0"/>
        <v>13.076923076923077</v>
      </c>
      <c r="F23" s="4">
        <v>1</v>
      </c>
      <c r="G23" s="2">
        <v>411</v>
      </c>
      <c r="H23" s="4">
        <v>1</v>
      </c>
      <c r="I23" s="2">
        <v>26</v>
      </c>
      <c r="J23" s="4">
        <f t="shared" si="1"/>
        <v>0.33766233766233766</v>
      </c>
      <c r="K23" s="16">
        <f t="shared" si="2"/>
        <v>1.3076923076923077</v>
      </c>
      <c r="L23">
        <f>SUM(Table2[[#This Row],[Columns]]+(2*Table2[[#This Row],[Tables Extracted]]))</f>
        <v>34</v>
      </c>
    </row>
    <row r="24" spans="1:12" ht="15" thickBot="1" x14ac:dyDescent="0.4">
      <c r="A24" s="13">
        <v>23</v>
      </c>
      <c r="B24" s="2">
        <v>50</v>
      </c>
      <c r="C24" s="2">
        <v>2</v>
      </c>
      <c r="D24" s="2">
        <v>9</v>
      </c>
      <c r="E24" s="7">
        <f t="shared" si="0"/>
        <v>9.0909090909090899</v>
      </c>
      <c r="F24" s="4">
        <v>1</v>
      </c>
      <c r="G24" s="2">
        <v>1073</v>
      </c>
      <c r="H24" s="4">
        <v>1</v>
      </c>
      <c r="I24" s="2">
        <v>22</v>
      </c>
      <c r="J24" s="4">
        <f t="shared" si="1"/>
        <v>0.44</v>
      </c>
      <c r="K24" s="16">
        <f t="shared" si="2"/>
        <v>0.90909090909090906</v>
      </c>
      <c r="L24">
        <f>SUM(Table2[[#This Row],[Columns]]+(2*Table2[[#This Row],[Tables Extracted]]))</f>
        <v>20</v>
      </c>
    </row>
    <row r="25" spans="1:12" ht="15" thickBot="1" x14ac:dyDescent="0.4">
      <c r="A25" s="13">
        <v>24</v>
      </c>
      <c r="B25" s="2">
        <v>62</v>
      </c>
      <c r="C25" s="2">
        <v>11</v>
      </c>
      <c r="D25" s="2">
        <v>8</v>
      </c>
      <c r="E25" s="7">
        <f t="shared" si="0"/>
        <v>12.272727272727273</v>
      </c>
      <c r="F25" s="4">
        <v>1</v>
      </c>
      <c r="G25" s="2">
        <v>1062</v>
      </c>
      <c r="H25" s="4">
        <v>1</v>
      </c>
      <c r="I25" s="2">
        <v>22</v>
      </c>
      <c r="J25" s="4">
        <f t="shared" si="1"/>
        <v>0.35483870967741937</v>
      </c>
      <c r="K25" s="16">
        <f t="shared" si="2"/>
        <v>1.2272727272727273</v>
      </c>
      <c r="L25">
        <f>SUM(Table2[[#This Row],[Columns]]+(2*Table2[[#This Row],[Tables Extracted]]))</f>
        <v>27</v>
      </c>
    </row>
    <row r="26" spans="1:12" ht="15" thickBot="1" x14ac:dyDescent="0.4">
      <c r="A26" s="13">
        <v>25</v>
      </c>
      <c r="B26" s="1">
        <v>100</v>
      </c>
      <c r="C26" s="1">
        <v>22</v>
      </c>
      <c r="D26" s="1">
        <v>11</v>
      </c>
      <c r="E26" s="7">
        <f t="shared" si="0"/>
        <v>10</v>
      </c>
      <c r="F26" s="4">
        <v>1</v>
      </c>
      <c r="G26" s="1">
        <v>1077</v>
      </c>
      <c r="H26" s="4">
        <v>1</v>
      </c>
      <c r="I26" s="1">
        <v>44</v>
      </c>
      <c r="J26" s="4">
        <f t="shared" si="1"/>
        <v>0.44</v>
      </c>
      <c r="K26" s="16">
        <f t="shared" si="2"/>
        <v>1</v>
      </c>
      <c r="L26">
        <f>SUM(Table2[[#This Row],[Columns]]+(2*Table2[[#This Row],[Tables Extracted]]))</f>
        <v>44</v>
      </c>
    </row>
    <row r="27" spans="1:12" ht="15" thickBot="1" x14ac:dyDescent="0.4">
      <c r="A27" s="13">
        <v>26</v>
      </c>
      <c r="B27" s="2">
        <v>30</v>
      </c>
      <c r="C27" s="2">
        <v>5</v>
      </c>
      <c r="D27" s="2">
        <v>4</v>
      </c>
      <c r="E27" s="7">
        <f t="shared" si="0"/>
        <v>10.833333333333332</v>
      </c>
      <c r="F27" s="4">
        <v>1</v>
      </c>
      <c r="G27" s="2">
        <v>103</v>
      </c>
      <c r="H27" s="4">
        <v>1</v>
      </c>
      <c r="I27" s="2">
        <v>12</v>
      </c>
      <c r="J27" s="4">
        <f t="shared" si="1"/>
        <v>0.4</v>
      </c>
      <c r="K27" s="16">
        <f t="shared" si="2"/>
        <v>1.0833333333333333</v>
      </c>
      <c r="L27">
        <f>SUM(Table2[[#This Row],[Columns]]+(2*Table2[[#This Row],[Tables Extracted]]))</f>
        <v>13</v>
      </c>
    </row>
    <row r="28" spans="1:12" ht="15" thickBot="1" x14ac:dyDescent="0.4">
      <c r="A28" s="13">
        <v>27</v>
      </c>
      <c r="B28" s="2">
        <v>25</v>
      </c>
      <c r="C28" s="2">
        <v>2</v>
      </c>
      <c r="D28" s="2">
        <v>4</v>
      </c>
      <c r="E28" s="7">
        <f t="shared" si="0"/>
        <v>8.3333333333333339</v>
      </c>
      <c r="F28" s="4">
        <v>1</v>
      </c>
      <c r="G28" s="2">
        <v>719</v>
      </c>
      <c r="H28" s="4">
        <v>1</v>
      </c>
      <c r="I28" s="2">
        <v>12</v>
      </c>
      <c r="J28" s="4">
        <f t="shared" si="1"/>
        <v>0.48</v>
      </c>
      <c r="K28" s="16">
        <f t="shared" si="2"/>
        <v>0.83333333333333337</v>
      </c>
      <c r="L28">
        <f>SUM(Table2[[#This Row],[Columns]]+(2*Table2[[#This Row],[Tables Extracted]]))</f>
        <v>10</v>
      </c>
    </row>
    <row r="29" spans="1:12" ht="15" thickBot="1" x14ac:dyDescent="0.4">
      <c r="A29" s="13">
        <v>28</v>
      </c>
      <c r="B29" s="2">
        <v>37</v>
      </c>
      <c r="C29" s="2">
        <v>3</v>
      </c>
      <c r="D29" s="2">
        <v>6</v>
      </c>
      <c r="E29" s="7">
        <f t="shared" si="0"/>
        <v>9.375</v>
      </c>
      <c r="F29" s="4">
        <v>1</v>
      </c>
      <c r="G29" s="2">
        <v>360</v>
      </c>
      <c r="H29" s="4">
        <v>1</v>
      </c>
      <c r="I29" s="2">
        <v>16</v>
      </c>
      <c r="J29" s="4">
        <f t="shared" si="1"/>
        <v>0.43243243243243246</v>
      </c>
      <c r="K29" s="16">
        <f t="shared" si="2"/>
        <v>0.9375</v>
      </c>
      <c r="L29">
        <f>SUM(Table2[[#This Row],[Columns]]+(2*Table2[[#This Row],[Tables Extracted]]))</f>
        <v>15</v>
      </c>
    </row>
    <row r="30" spans="1:12" ht="15" thickBot="1" x14ac:dyDescent="0.4">
      <c r="A30" s="13">
        <v>29</v>
      </c>
      <c r="B30" s="2">
        <v>50</v>
      </c>
      <c r="C30" s="2">
        <v>2</v>
      </c>
      <c r="D30" s="2">
        <v>9</v>
      </c>
      <c r="E30" s="7">
        <f t="shared" si="0"/>
        <v>9.0909090909090899</v>
      </c>
      <c r="F30" s="4">
        <v>1</v>
      </c>
      <c r="G30" s="2">
        <v>1073</v>
      </c>
      <c r="H30" s="4">
        <v>1</v>
      </c>
      <c r="I30" s="2">
        <v>22</v>
      </c>
      <c r="J30" s="4">
        <f t="shared" si="1"/>
        <v>0.44</v>
      </c>
      <c r="K30" s="16">
        <f t="shared" si="2"/>
        <v>0.90909090909090906</v>
      </c>
      <c r="L30">
        <f>SUM(Table2[[#This Row],[Columns]]+(2*Table2[[#This Row],[Tables Extracted]]))</f>
        <v>20</v>
      </c>
    </row>
    <row r="31" spans="1:12" ht="15" thickBot="1" x14ac:dyDescent="0.4">
      <c r="A31" s="13">
        <v>30</v>
      </c>
      <c r="B31" s="2">
        <v>49</v>
      </c>
      <c r="C31" s="2">
        <v>7</v>
      </c>
      <c r="D31" s="2">
        <v>7</v>
      </c>
      <c r="E31" s="7">
        <f t="shared" si="0"/>
        <v>11.666666666666668</v>
      </c>
      <c r="F31" s="4">
        <v>1</v>
      </c>
      <c r="G31" s="2">
        <v>371</v>
      </c>
      <c r="H31" s="4">
        <v>1</v>
      </c>
      <c r="I31" s="2">
        <v>18</v>
      </c>
      <c r="J31" s="4">
        <f t="shared" si="1"/>
        <v>0.36734693877551022</v>
      </c>
      <c r="K31" s="16">
        <f t="shared" si="2"/>
        <v>1.1666666666666667</v>
      </c>
      <c r="L31">
        <f>SUM(Table2[[#This Row],[Columns]]+(2*Table2[[#This Row],[Tables Extracted]]))</f>
        <v>21</v>
      </c>
    </row>
    <row r="32" spans="1:12" ht="15" thickBot="1" x14ac:dyDescent="0.4">
      <c r="A32" s="13">
        <v>31</v>
      </c>
      <c r="B32" s="2">
        <v>63</v>
      </c>
      <c r="C32" s="2">
        <v>9</v>
      </c>
      <c r="D32" s="2">
        <v>9</v>
      </c>
      <c r="E32" s="7">
        <f t="shared" si="0"/>
        <v>11.25</v>
      </c>
      <c r="F32" s="4">
        <v>1</v>
      </c>
      <c r="G32" s="2">
        <v>411</v>
      </c>
      <c r="H32" s="4">
        <v>1</v>
      </c>
      <c r="I32" s="2">
        <v>24</v>
      </c>
      <c r="J32" s="4">
        <f t="shared" si="1"/>
        <v>0.38095238095238093</v>
      </c>
      <c r="K32" s="16">
        <f t="shared" si="2"/>
        <v>1.125</v>
      </c>
      <c r="L32">
        <f>SUM(Table2[[#This Row],[Columns]]+(2*Table2[[#This Row],[Tables Extracted]]))</f>
        <v>27</v>
      </c>
    </row>
    <row r="33" spans="1:12" ht="15" thickBot="1" x14ac:dyDescent="0.4">
      <c r="A33" s="13">
        <v>32</v>
      </c>
      <c r="B33" s="2">
        <v>53</v>
      </c>
      <c r="C33" s="2">
        <v>4</v>
      </c>
      <c r="D33" s="2">
        <v>9</v>
      </c>
      <c r="E33" s="7">
        <f t="shared" si="0"/>
        <v>9.5652173913043477</v>
      </c>
      <c r="F33" s="4">
        <v>1</v>
      </c>
      <c r="G33" s="2">
        <v>1045</v>
      </c>
      <c r="H33" s="4">
        <v>1</v>
      </c>
      <c r="I33" s="2">
        <v>23</v>
      </c>
      <c r="J33" s="4">
        <f t="shared" si="1"/>
        <v>0.43396226415094341</v>
      </c>
      <c r="K33" s="16">
        <f t="shared" si="2"/>
        <v>0.95652173913043481</v>
      </c>
      <c r="L33">
        <f>SUM(Table2[[#This Row],[Columns]]+(2*Table2[[#This Row],[Tables Extracted]]))</f>
        <v>22</v>
      </c>
    </row>
    <row r="34" spans="1:12" ht="15" thickBot="1" x14ac:dyDescent="0.4">
      <c r="A34" s="13">
        <v>33</v>
      </c>
      <c r="B34" s="2">
        <v>33</v>
      </c>
      <c r="C34" s="2">
        <v>4</v>
      </c>
      <c r="D34" s="2">
        <v>5</v>
      </c>
      <c r="E34" s="7">
        <f t="shared" ref="E34:E51" si="3">(SUM((C34+(2*D34))/I34)*10)</f>
        <v>10</v>
      </c>
      <c r="F34" s="4">
        <v>1</v>
      </c>
      <c r="G34" s="2">
        <v>734</v>
      </c>
      <c r="H34" s="4">
        <v>1</v>
      </c>
      <c r="I34" s="2">
        <v>14</v>
      </c>
      <c r="J34" s="4">
        <f t="shared" ref="J34:J51" si="4">(SUM(I34/B34))</f>
        <v>0.42424242424242425</v>
      </c>
      <c r="K34" s="16">
        <f t="shared" ref="K34:K51" si="5">(SUM((C34+(2*D34))/I34))</f>
        <v>1</v>
      </c>
      <c r="L34">
        <f>SUM(Table2[[#This Row],[Columns]]+(2*Table2[[#This Row],[Tables Extracted]]))</f>
        <v>14</v>
      </c>
    </row>
    <row r="35" spans="1:12" ht="15" thickBot="1" x14ac:dyDescent="0.4">
      <c r="A35" s="13">
        <v>34</v>
      </c>
      <c r="B35" s="2">
        <v>56</v>
      </c>
      <c r="C35" s="2">
        <v>23</v>
      </c>
      <c r="D35" s="2">
        <v>2</v>
      </c>
      <c r="E35" s="7">
        <f t="shared" si="3"/>
        <v>19.285714285714285</v>
      </c>
      <c r="F35" s="4">
        <v>1</v>
      </c>
      <c r="G35" s="2">
        <v>46</v>
      </c>
      <c r="H35" s="4">
        <v>1</v>
      </c>
      <c r="I35" s="2">
        <v>14</v>
      </c>
      <c r="J35" s="4">
        <f t="shared" si="4"/>
        <v>0.25</v>
      </c>
      <c r="K35" s="16">
        <f t="shared" si="5"/>
        <v>1.9285714285714286</v>
      </c>
      <c r="L35">
        <f>SUM(Table2[[#This Row],[Columns]]+(2*Table2[[#This Row],[Tables Extracted]]))</f>
        <v>27</v>
      </c>
    </row>
    <row r="36" spans="1:12" ht="15" thickBot="1" x14ac:dyDescent="0.4">
      <c r="A36" s="13">
        <v>35</v>
      </c>
      <c r="B36" s="2">
        <v>41</v>
      </c>
      <c r="C36" s="2">
        <v>4</v>
      </c>
      <c r="D36" s="2">
        <v>7</v>
      </c>
      <c r="E36" s="7">
        <f t="shared" si="3"/>
        <v>10</v>
      </c>
      <c r="F36" s="4">
        <v>1</v>
      </c>
      <c r="G36" s="2">
        <v>785</v>
      </c>
      <c r="H36" s="4">
        <v>1</v>
      </c>
      <c r="I36" s="2">
        <v>18</v>
      </c>
      <c r="J36" s="4">
        <f t="shared" si="4"/>
        <v>0.43902439024390244</v>
      </c>
      <c r="K36" s="16">
        <f t="shared" si="5"/>
        <v>1</v>
      </c>
      <c r="L36">
        <f>SUM(Table2[[#This Row],[Columns]]+(2*Table2[[#This Row],[Tables Extracted]]))</f>
        <v>18</v>
      </c>
    </row>
    <row r="37" spans="1:12" ht="15" thickBot="1" x14ac:dyDescent="0.4">
      <c r="A37" s="13">
        <v>36</v>
      </c>
      <c r="B37" s="2">
        <v>22</v>
      </c>
      <c r="C37" s="2">
        <v>2</v>
      </c>
      <c r="D37" s="2">
        <v>3</v>
      </c>
      <c r="E37" s="7">
        <f t="shared" si="3"/>
        <v>8</v>
      </c>
      <c r="F37" s="4">
        <v>1</v>
      </c>
      <c r="G37" s="2">
        <v>78</v>
      </c>
      <c r="H37" s="4">
        <v>1</v>
      </c>
      <c r="I37" s="2">
        <v>10</v>
      </c>
      <c r="J37" s="4">
        <f t="shared" si="4"/>
        <v>0.45454545454545453</v>
      </c>
      <c r="K37" s="16">
        <f t="shared" si="5"/>
        <v>0.8</v>
      </c>
      <c r="L37">
        <f>SUM(Table2[[#This Row],[Columns]]+(2*Table2[[#This Row],[Tables Extracted]]))</f>
        <v>8</v>
      </c>
    </row>
    <row r="38" spans="1:12" ht="15" thickBot="1" x14ac:dyDescent="0.4">
      <c r="A38" s="13">
        <v>37</v>
      </c>
      <c r="B38" s="2">
        <v>77</v>
      </c>
      <c r="C38" s="2">
        <v>16</v>
      </c>
      <c r="D38" s="2">
        <v>9</v>
      </c>
      <c r="E38" s="7">
        <f t="shared" si="3"/>
        <v>13.076923076923077</v>
      </c>
      <c r="F38" s="4">
        <v>1</v>
      </c>
      <c r="G38" s="2">
        <v>411</v>
      </c>
      <c r="H38" s="4">
        <v>1</v>
      </c>
      <c r="I38" s="2">
        <v>26</v>
      </c>
      <c r="J38" s="4">
        <f t="shared" si="4"/>
        <v>0.33766233766233766</v>
      </c>
      <c r="K38" s="16">
        <f t="shared" si="5"/>
        <v>1.3076923076923077</v>
      </c>
      <c r="L38">
        <f>SUM(Table2[[#This Row],[Columns]]+(2*Table2[[#This Row],[Tables Extracted]]))</f>
        <v>34</v>
      </c>
    </row>
    <row r="39" spans="1:12" ht="15" thickBot="1" x14ac:dyDescent="0.4">
      <c r="A39" s="13">
        <v>38</v>
      </c>
      <c r="B39" s="2">
        <v>50</v>
      </c>
      <c r="C39" s="2">
        <v>2</v>
      </c>
      <c r="D39" s="2">
        <v>9</v>
      </c>
      <c r="E39" s="7">
        <f t="shared" si="3"/>
        <v>9.0909090909090899</v>
      </c>
      <c r="F39" s="4">
        <v>1</v>
      </c>
      <c r="G39" s="2">
        <v>1073</v>
      </c>
      <c r="H39" s="4">
        <v>1</v>
      </c>
      <c r="I39" s="2">
        <v>22</v>
      </c>
      <c r="J39" s="4">
        <f t="shared" si="4"/>
        <v>0.44</v>
      </c>
      <c r="K39" s="16">
        <f t="shared" si="5"/>
        <v>0.90909090909090906</v>
      </c>
      <c r="L39">
        <f>SUM(Table2[[#This Row],[Columns]]+(2*Table2[[#This Row],[Tables Extracted]]))</f>
        <v>20</v>
      </c>
    </row>
    <row r="40" spans="1:12" ht="15" thickBot="1" x14ac:dyDescent="0.4">
      <c r="A40" s="13">
        <v>39</v>
      </c>
      <c r="B40" s="2">
        <v>62</v>
      </c>
      <c r="C40" s="2">
        <v>11</v>
      </c>
      <c r="D40" s="2">
        <v>8</v>
      </c>
      <c r="E40" s="7">
        <f t="shared" si="3"/>
        <v>12.272727272727273</v>
      </c>
      <c r="F40" s="4">
        <v>1</v>
      </c>
      <c r="G40" s="2">
        <v>1062</v>
      </c>
      <c r="H40" s="4">
        <v>1</v>
      </c>
      <c r="I40" s="2">
        <v>22</v>
      </c>
      <c r="J40" s="4">
        <f t="shared" si="4"/>
        <v>0.35483870967741937</v>
      </c>
      <c r="K40" s="16">
        <f t="shared" si="5"/>
        <v>1.2272727272727273</v>
      </c>
      <c r="L40">
        <f>SUM(Table2[[#This Row],[Columns]]+(2*Table2[[#This Row],[Tables Extracted]]))</f>
        <v>27</v>
      </c>
    </row>
    <row r="41" spans="1:12" ht="15" thickBot="1" x14ac:dyDescent="0.4">
      <c r="A41" s="13">
        <v>40</v>
      </c>
      <c r="B41" s="2">
        <v>39</v>
      </c>
      <c r="C41" s="2">
        <v>7</v>
      </c>
      <c r="D41" s="2">
        <v>5</v>
      </c>
      <c r="E41" s="7">
        <f t="shared" si="3"/>
        <v>12.142857142857142</v>
      </c>
      <c r="F41" s="4">
        <v>1</v>
      </c>
      <c r="G41" s="2">
        <v>296</v>
      </c>
      <c r="H41" s="4">
        <v>1</v>
      </c>
      <c r="I41" s="2">
        <v>14</v>
      </c>
      <c r="J41" s="4">
        <f t="shared" si="4"/>
        <v>0.35897435897435898</v>
      </c>
      <c r="K41" s="16">
        <f t="shared" si="5"/>
        <v>1.2142857142857142</v>
      </c>
      <c r="L41">
        <f>SUM(Table2[[#This Row],[Columns]]+(2*Table2[[#This Row],[Tables Extracted]]))</f>
        <v>17</v>
      </c>
    </row>
    <row r="42" spans="1:12" ht="15" thickBot="1" x14ac:dyDescent="0.4">
      <c r="A42" s="13">
        <v>41</v>
      </c>
      <c r="B42" s="2">
        <v>30</v>
      </c>
      <c r="C42" s="2">
        <v>5</v>
      </c>
      <c r="D42" s="2">
        <v>4</v>
      </c>
      <c r="E42" s="7">
        <f t="shared" si="3"/>
        <v>10.833333333333332</v>
      </c>
      <c r="F42" s="4">
        <v>1</v>
      </c>
      <c r="G42" s="2">
        <v>103</v>
      </c>
      <c r="H42" s="4">
        <v>1</v>
      </c>
      <c r="I42" s="2">
        <v>12</v>
      </c>
      <c r="J42" s="4">
        <f t="shared" si="4"/>
        <v>0.4</v>
      </c>
      <c r="K42" s="16">
        <f t="shared" si="5"/>
        <v>1.0833333333333333</v>
      </c>
      <c r="L42">
        <f>SUM(Table2[[#This Row],[Columns]]+(2*Table2[[#This Row],[Tables Extracted]]))</f>
        <v>13</v>
      </c>
    </row>
    <row r="43" spans="1:12" ht="15" thickBot="1" x14ac:dyDescent="0.4">
      <c r="A43" s="13">
        <v>42</v>
      </c>
      <c r="B43" s="2">
        <v>25</v>
      </c>
      <c r="C43" s="2">
        <v>2</v>
      </c>
      <c r="D43" s="2">
        <v>4</v>
      </c>
      <c r="E43" s="7">
        <f t="shared" si="3"/>
        <v>8.3333333333333339</v>
      </c>
      <c r="F43" s="4">
        <v>1</v>
      </c>
      <c r="G43" s="2">
        <v>719</v>
      </c>
      <c r="H43" s="4">
        <v>1</v>
      </c>
      <c r="I43" s="2">
        <v>12</v>
      </c>
      <c r="J43" s="4">
        <f t="shared" si="4"/>
        <v>0.48</v>
      </c>
      <c r="K43" s="16">
        <f t="shared" si="5"/>
        <v>0.83333333333333337</v>
      </c>
      <c r="L43">
        <f>SUM(Table2[[#This Row],[Columns]]+(2*Table2[[#This Row],[Tables Extracted]]))</f>
        <v>10</v>
      </c>
    </row>
    <row r="44" spans="1:12" ht="15" thickBot="1" x14ac:dyDescent="0.4">
      <c r="A44" s="13">
        <v>43</v>
      </c>
      <c r="B44" s="2">
        <v>37</v>
      </c>
      <c r="C44" s="2">
        <v>3</v>
      </c>
      <c r="D44" s="2">
        <v>6</v>
      </c>
      <c r="E44" s="7">
        <f t="shared" si="3"/>
        <v>9.375</v>
      </c>
      <c r="F44" s="4">
        <v>1</v>
      </c>
      <c r="G44" s="2">
        <v>360</v>
      </c>
      <c r="H44" s="4">
        <v>1</v>
      </c>
      <c r="I44" s="2">
        <v>16</v>
      </c>
      <c r="J44" s="4">
        <f t="shared" si="4"/>
        <v>0.43243243243243246</v>
      </c>
      <c r="K44" s="16">
        <f t="shared" si="5"/>
        <v>0.9375</v>
      </c>
      <c r="L44">
        <f>SUM(Table2[[#This Row],[Columns]]+(2*Table2[[#This Row],[Tables Extracted]]))</f>
        <v>15</v>
      </c>
    </row>
    <row r="45" spans="1:12" ht="15" thickBot="1" x14ac:dyDescent="0.4">
      <c r="A45" s="13">
        <v>44</v>
      </c>
      <c r="B45" s="2">
        <v>50</v>
      </c>
      <c r="C45" s="2">
        <v>2</v>
      </c>
      <c r="D45" s="2">
        <v>9</v>
      </c>
      <c r="E45" s="7">
        <f t="shared" si="3"/>
        <v>9.0909090909090899</v>
      </c>
      <c r="F45" s="4">
        <v>1</v>
      </c>
      <c r="G45" s="2">
        <v>1073</v>
      </c>
      <c r="H45" s="4">
        <v>1</v>
      </c>
      <c r="I45" s="2">
        <v>22</v>
      </c>
      <c r="J45" s="4">
        <f t="shared" si="4"/>
        <v>0.44</v>
      </c>
      <c r="K45" s="16">
        <f t="shared" si="5"/>
        <v>0.90909090909090906</v>
      </c>
      <c r="L45">
        <f>SUM(Table2[[#This Row],[Columns]]+(2*Table2[[#This Row],[Tables Extracted]]))</f>
        <v>20</v>
      </c>
    </row>
    <row r="46" spans="1:12" ht="15" thickBot="1" x14ac:dyDescent="0.4">
      <c r="A46" s="13">
        <v>45</v>
      </c>
      <c r="B46" s="2">
        <v>49</v>
      </c>
      <c r="C46" s="2">
        <v>7</v>
      </c>
      <c r="D46" s="2">
        <v>7</v>
      </c>
      <c r="E46" s="7">
        <f t="shared" si="3"/>
        <v>11.666666666666668</v>
      </c>
      <c r="F46" s="4">
        <v>1</v>
      </c>
      <c r="G46" s="2">
        <v>371</v>
      </c>
      <c r="H46" s="4">
        <v>1</v>
      </c>
      <c r="I46" s="2">
        <v>18</v>
      </c>
      <c r="J46" s="4">
        <f t="shared" si="4"/>
        <v>0.36734693877551022</v>
      </c>
      <c r="K46" s="16">
        <f t="shared" si="5"/>
        <v>1.1666666666666667</v>
      </c>
      <c r="L46">
        <f>SUM(Table2[[#This Row],[Columns]]+(2*Table2[[#This Row],[Tables Extracted]]))</f>
        <v>21</v>
      </c>
    </row>
    <row r="47" spans="1:12" ht="15" thickBot="1" x14ac:dyDescent="0.4">
      <c r="A47" s="13">
        <v>46</v>
      </c>
      <c r="B47" s="2">
        <v>39</v>
      </c>
      <c r="C47" s="2">
        <v>4</v>
      </c>
      <c r="D47" s="2">
        <v>6</v>
      </c>
      <c r="E47" s="7">
        <f t="shared" si="3"/>
        <v>9.4117647058823533</v>
      </c>
      <c r="F47" s="4">
        <v>1</v>
      </c>
      <c r="G47" s="2">
        <v>682</v>
      </c>
      <c r="H47" s="4">
        <v>1</v>
      </c>
      <c r="I47" s="2">
        <v>17</v>
      </c>
      <c r="J47" s="4">
        <f t="shared" si="4"/>
        <v>0.4358974358974359</v>
      </c>
      <c r="K47" s="16">
        <f t="shared" si="5"/>
        <v>0.94117647058823528</v>
      </c>
      <c r="L47">
        <f>SUM(Table2[[#This Row],[Columns]]+(2*Table2[[#This Row],[Tables Extracted]]))</f>
        <v>16</v>
      </c>
    </row>
    <row r="48" spans="1:12" ht="15" thickBot="1" x14ac:dyDescent="0.4">
      <c r="A48" s="13">
        <v>47</v>
      </c>
      <c r="B48" s="2">
        <v>45</v>
      </c>
      <c r="C48" s="2">
        <v>2</v>
      </c>
      <c r="D48" s="2">
        <v>8</v>
      </c>
      <c r="E48" s="7">
        <f t="shared" si="3"/>
        <v>8.5714285714285712</v>
      </c>
      <c r="F48" s="4">
        <v>1</v>
      </c>
      <c r="G48" s="2">
        <v>1036</v>
      </c>
      <c r="H48" s="4">
        <v>1</v>
      </c>
      <c r="I48" s="2">
        <v>21</v>
      </c>
      <c r="J48" s="4">
        <f t="shared" si="4"/>
        <v>0.46666666666666667</v>
      </c>
      <c r="K48" s="16">
        <f t="shared" si="5"/>
        <v>0.8571428571428571</v>
      </c>
      <c r="L48">
        <f>SUM(Table2[[#This Row],[Columns]]+(2*Table2[[#This Row],[Tables Extracted]]))</f>
        <v>18</v>
      </c>
    </row>
    <row r="49" spans="1:12" ht="15" thickBot="1" x14ac:dyDescent="0.4">
      <c r="A49" s="13">
        <v>48</v>
      </c>
      <c r="B49" s="2">
        <v>51</v>
      </c>
      <c r="C49" s="2">
        <v>15</v>
      </c>
      <c r="D49" s="2">
        <v>4</v>
      </c>
      <c r="E49" s="7">
        <f t="shared" si="3"/>
        <v>15.333333333333334</v>
      </c>
      <c r="F49" s="4">
        <v>1</v>
      </c>
      <c r="G49" s="2">
        <v>80</v>
      </c>
      <c r="H49" s="4">
        <v>1</v>
      </c>
      <c r="I49" s="2">
        <v>15</v>
      </c>
      <c r="J49" s="4">
        <f t="shared" si="4"/>
        <v>0.29411764705882354</v>
      </c>
      <c r="K49" s="16">
        <f t="shared" si="5"/>
        <v>1.5333333333333334</v>
      </c>
      <c r="L49">
        <f>SUM(Table2[[#This Row],[Columns]]+(2*Table2[[#This Row],[Tables Extracted]]))</f>
        <v>23</v>
      </c>
    </row>
    <row r="50" spans="1:12" ht="15" thickBot="1" x14ac:dyDescent="0.4">
      <c r="A50" s="13">
        <v>49</v>
      </c>
      <c r="B50" s="2">
        <v>28</v>
      </c>
      <c r="C50" s="2">
        <v>4</v>
      </c>
      <c r="D50" s="2">
        <v>4</v>
      </c>
      <c r="E50" s="7">
        <f t="shared" si="3"/>
        <v>9.2307692307692317</v>
      </c>
      <c r="F50" s="4">
        <v>1</v>
      </c>
      <c r="G50" s="2">
        <v>299</v>
      </c>
      <c r="H50" s="4">
        <v>1</v>
      </c>
      <c r="I50" s="2">
        <v>13</v>
      </c>
      <c r="J50" s="4">
        <f t="shared" si="4"/>
        <v>0.4642857142857143</v>
      </c>
      <c r="K50" s="16">
        <f t="shared" si="5"/>
        <v>0.92307692307692313</v>
      </c>
      <c r="L50">
        <f>SUM(Table2[[#This Row],[Columns]]+(2*Table2[[#This Row],[Tables Extracted]]))</f>
        <v>12</v>
      </c>
    </row>
    <row r="51" spans="1:12" x14ac:dyDescent="0.35">
      <c r="A51" s="17">
        <v>50</v>
      </c>
      <c r="B51" s="21">
        <v>25</v>
      </c>
      <c r="C51" s="21">
        <v>2</v>
      </c>
      <c r="D51" s="21">
        <v>4</v>
      </c>
      <c r="E51" s="18">
        <f t="shared" si="3"/>
        <v>8.3333333333333339</v>
      </c>
      <c r="F51" s="19">
        <v>1</v>
      </c>
      <c r="G51" s="21">
        <v>719</v>
      </c>
      <c r="H51" s="19">
        <v>1</v>
      </c>
      <c r="I51" s="21">
        <v>12</v>
      </c>
      <c r="J51" s="19">
        <f t="shared" si="4"/>
        <v>0.48</v>
      </c>
      <c r="K51" s="20">
        <f t="shared" si="5"/>
        <v>0.83333333333333337</v>
      </c>
      <c r="L51">
        <f>SUM(Table2[[#This Row],[Columns]]+(2*Table2[[#This Row],[Tables Extracted]]))</f>
        <v>10</v>
      </c>
    </row>
    <row r="54" spans="1:12" ht="15" thickBot="1" x14ac:dyDescent="0.4"/>
    <row r="55" spans="1:12" ht="15" thickBot="1" x14ac:dyDescent="0.4">
      <c r="A55" s="1" t="s">
        <v>6</v>
      </c>
      <c r="B55" s="2">
        <f>AVERAGE(B2:B51)</f>
        <v>45.9</v>
      </c>
      <c r="C55" s="2">
        <f>AVERAGE(C2:C51)</f>
        <v>6.76</v>
      </c>
      <c r="D55" s="2">
        <f>AVERAGE(D2:D51)</f>
        <v>6.38</v>
      </c>
      <c r="E55" s="6">
        <f>AVERAGE(E2:E50)/10</f>
        <v>1.0845487392860689</v>
      </c>
      <c r="F55" s="4">
        <f>AVERAGE(F2:F51)</f>
        <v>1</v>
      </c>
      <c r="G55" s="2">
        <f>AVERAGE(G2:G51)</f>
        <v>599.70000000000005</v>
      </c>
      <c r="H55" s="4">
        <f>AVERAGE(H2:H51)</f>
        <v>1</v>
      </c>
      <c r="I55" s="2">
        <f>AVERAGE(I2:I51)</f>
        <v>18.059999999999999</v>
      </c>
      <c r="J55" s="4">
        <f>AVERAGE(J2:J51)</f>
        <v>0.40406623377288936</v>
      </c>
    </row>
    <row r="90" spans="16:16" x14ac:dyDescent="0.35">
      <c r="P90" t="s">
        <v>90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1A7F-369D-4BF4-AC79-484C2A5FA0C0}">
  <dimension ref="A3:E8"/>
  <sheetViews>
    <sheetView workbookViewId="0">
      <selection activeCell="C7" sqref="C7"/>
    </sheetView>
  </sheetViews>
  <sheetFormatPr defaultRowHeight="14.5" x14ac:dyDescent="0.35"/>
  <cols>
    <col min="1" max="1" width="19.36328125" bestFit="1" customWidth="1"/>
    <col min="2" max="2" width="23.1796875" bestFit="1" customWidth="1"/>
    <col min="3" max="3" width="22" bestFit="1" customWidth="1"/>
    <col min="4" max="4" width="19.08984375" bestFit="1" customWidth="1"/>
    <col min="5" max="5" width="26.26953125" bestFit="1" customWidth="1"/>
  </cols>
  <sheetData>
    <row r="3" spans="1:5" x14ac:dyDescent="0.35">
      <c r="A3" s="10" t="s">
        <v>9</v>
      </c>
      <c r="B3" t="s">
        <v>24</v>
      </c>
      <c r="C3" t="s">
        <v>28</v>
      </c>
      <c r="D3" t="s">
        <v>25</v>
      </c>
      <c r="E3" t="s">
        <v>30</v>
      </c>
    </row>
    <row r="4" spans="1:5" x14ac:dyDescent="0.35">
      <c r="A4" s="14" t="s">
        <v>20</v>
      </c>
      <c r="B4" s="9">
        <v>0.93049864532707671</v>
      </c>
      <c r="C4" s="9">
        <v>13.055555555555555</v>
      </c>
      <c r="D4" s="9">
        <v>29.777777777777779</v>
      </c>
      <c r="E4" s="3">
        <v>0.44145049092417515</v>
      </c>
    </row>
    <row r="5" spans="1:5" x14ac:dyDescent="0.35">
      <c r="A5" s="14" t="s">
        <v>21</v>
      </c>
      <c r="B5" s="9">
        <v>0.93748084213922722</v>
      </c>
      <c r="C5" s="9">
        <v>20.928571428571427</v>
      </c>
      <c r="D5" s="9">
        <v>47.857142857142854</v>
      </c>
      <c r="E5" s="3">
        <v>0.4373077468861703</v>
      </c>
    </row>
    <row r="6" spans="1:5" x14ac:dyDescent="0.35">
      <c r="A6" s="14" t="s">
        <v>22</v>
      </c>
      <c r="B6" s="9">
        <v>1.6246031746031744</v>
      </c>
      <c r="C6" s="9">
        <v>14.166666666666666</v>
      </c>
      <c r="D6" s="9">
        <v>49.833333333333336</v>
      </c>
      <c r="E6" s="3">
        <v>0.29224094589206157</v>
      </c>
    </row>
    <row r="7" spans="1:5" x14ac:dyDescent="0.35">
      <c r="A7" s="14" t="s">
        <v>23</v>
      </c>
      <c r="B7" s="9">
        <v>1.1962412587412588</v>
      </c>
      <c r="C7" s="9">
        <v>24.166666666666668</v>
      </c>
      <c r="D7" s="9">
        <v>65.833333333333329</v>
      </c>
      <c r="E7" s="3">
        <v>0.36512072668754691</v>
      </c>
    </row>
    <row r="8" spans="1:5" x14ac:dyDescent="0.35">
      <c r="A8" s="14" t="s">
        <v>10</v>
      </c>
      <c r="B8" s="9">
        <v>1.0795244311670142</v>
      </c>
      <c r="C8" s="9">
        <v>18.059999999999999</v>
      </c>
      <c r="D8" s="9">
        <v>45.9</v>
      </c>
      <c r="E8" s="3">
        <v>0.40406623377288947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D3E8-C822-489D-A529-D6232C8D95BD}">
  <dimension ref="A1:O51"/>
  <sheetViews>
    <sheetView zoomScale="85" zoomScaleNormal="85" workbookViewId="0">
      <selection activeCell="A2" sqref="A2"/>
    </sheetView>
  </sheetViews>
  <sheetFormatPr defaultRowHeight="14.5" x14ac:dyDescent="0.35"/>
  <cols>
    <col min="1" max="1" width="9.7265625" customWidth="1"/>
    <col min="2" max="2" width="12.6328125" customWidth="1"/>
    <col min="3" max="3" width="18" customWidth="1"/>
    <col min="4" max="4" width="17.36328125" customWidth="1"/>
    <col min="5" max="5" width="15.6328125" customWidth="1"/>
    <col min="6" max="6" width="16.54296875" customWidth="1"/>
    <col min="7" max="7" width="15.453125" customWidth="1"/>
    <col min="8" max="8" width="17.54296875" customWidth="1"/>
    <col min="9" max="9" width="19.36328125" bestFit="1" customWidth="1"/>
    <col min="10" max="11" width="10.6328125" bestFit="1" customWidth="1"/>
    <col min="14" max="14" width="13" bestFit="1" customWidth="1"/>
  </cols>
  <sheetData>
    <row r="1" spans="1:15" ht="26.5" thickBot="1" x14ac:dyDescent="0.4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14</v>
      </c>
      <c r="G1" s="8" t="s">
        <v>15</v>
      </c>
      <c r="H1" s="8" t="s">
        <v>16</v>
      </c>
      <c r="I1" s="8" t="s">
        <v>19</v>
      </c>
      <c r="J1" s="1" t="s">
        <v>26</v>
      </c>
      <c r="K1" s="1" t="s">
        <v>13</v>
      </c>
    </row>
    <row r="2" spans="1:15" ht="15" thickBot="1" x14ac:dyDescent="0.4">
      <c r="A2" s="13">
        <v>1</v>
      </c>
      <c r="B2" s="2">
        <v>63</v>
      </c>
      <c r="C2" s="2">
        <v>9</v>
      </c>
      <c r="D2" s="2">
        <v>9</v>
      </c>
      <c r="E2" s="2">
        <v>24</v>
      </c>
      <c r="F2" s="7">
        <f>(SUM((Table1[[#This Row],[Complexity (Cols)]]+(2*Table1[[#This Row],[Tables Extracted]]))/Table1[[#This Row],[Total Executes2]]))</f>
        <v>1.125</v>
      </c>
      <c r="G2" t="str">
        <f>IF(C2&lt;=$O$3,"few cols", "many cols")</f>
        <v>many cols</v>
      </c>
      <c r="H2" t="str">
        <f>IF(D2&lt;=$O$4,"few tables", "many tables")</f>
        <v>many tables</v>
      </c>
      <c r="I2" t="str">
        <f>_xlfn.CONCAT(G2,",",H2)</f>
        <v>many cols,many tables</v>
      </c>
      <c r="J2" s="2">
        <v>24</v>
      </c>
      <c r="K2" s="4">
        <f>(SUM(Table1[[#This Row],[Total Executes2]]/Table1[[#This Row],[Total Steps]]))</f>
        <v>0.38095238095238093</v>
      </c>
    </row>
    <row r="3" spans="1:15" ht="15" thickBot="1" x14ac:dyDescent="0.4">
      <c r="A3" s="13">
        <v>2</v>
      </c>
      <c r="B3" s="2">
        <v>53</v>
      </c>
      <c r="C3" s="2">
        <v>4</v>
      </c>
      <c r="D3" s="2">
        <v>9</v>
      </c>
      <c r="E3" s="2">
        <v>23</v>
      </c>
      <c r="F3" s="7">
        <f>(SUM((Table1[[#This Row],[Complexity (Cols)]]+(2*Table1[[#This Row],[Tables Extracted]]))/Table1[[#This Row],[Total Executes2]]))</f>
        <v>0.95652173913043481</v>
      </c>
      <c r="G3" t="str">
        <f t="shared" ref="G3:G51" si="0">IF(C3&lt;=$O$3,"few cols", "many cols")</f>
        <v>few cols</v>
      </c>
      <c r="H3" t="str">
        <f t="shared" ref="H3:H51" si="1">IF(D3&lt;=$O$4,"few tables", "many tables")</f>
        <v>many tables</v>
      </c>
      <c r="I3" t="str">
        <f t="shared" ref="I3:I51" si="2">_xlfn.CONCAT(G3,",",H3)</f>
        <v>few cols,many tables</v>
      </c>
      <c r="J3" s="2">
        <v>23</v>
      </c>
      <c r="K3" s="4">
        <f>(SUM(Table1[[#This Row],[Total Executes2]]/Table1[[#This Row],[Total Steps]]))</f>
        <v>0.43396226415094341</v>
      </c>
      <c r="N3" t="s">
        <v>17</v>
      </c>
      <c r="O3">
        <f>AVERAGE(C2:C51)</f>
        <v>6.76</v>
      </c>
    </row>
    <row r="4" spans="1:15" ht="15" thickBot="1" x14ac:dyDescent="0.4">
      <c r="A4" s="13">
        <v>3</v>
      </c>
      <c r="B4" s="2">
        <v>33</v>
      </c>
      <c r="C4" s="2">
        <v>4</v>
      </c>
      <c r="D4" s="2">
        <v>5</v>
      </c>
      <c r="E4" s="2">
        <v>14</v>
      </c>
      <c r="F4" s="7">
        <f>(SUM((Table1[[#This Row],[Complexity (Cols)]]+(2*Table1[[#This Row],[Tables Extracted]]))/Table1[[#This Row],[Total Executes2]]))</f>
        <v>1</v>
      </c>
      <c r="G4" t="str">
        <f t="shared" si="0"/>
        <v>few cols</v>
      </c>
      <c r="H4" t="str">
        <f t="shared" si="1"/>
        <v>few tables</v>
      </c>
      <c r="I4" t="str">
        <f t="shared" si="2"/>
        <v>few cols,few tables</v>
      </c>
      <c r="J4" s="2">
        <v>14</v>
      </c>
      <c r="K4" s="4">
        <f>(SUM(Table1[[#This Row],[Total Executes2]]/Table1[[#This Row],[Total Steps]]))</f>
        <v>0.42424242424242425</v>
      </c>
      <c r="N4" t="s">
        <v>18</v>
      </c>
      <c r="O4">
        <f>AVERAGE(D2:D51)</f>
        <v>6.38</v>
      </c>
    </row>
    <row r="5" spans="1:15" ht="15" thickBot="1" x14ac:dyDescent="0.4">
      <c r="A5" s="13">
        <v>4</v>
      </c>
      <c r="B5" s="2">
        <v>56</v>
      </c>
      <c r="C5" s="2">
        <v>23</v>
      </c>
      <c r="D5" s="2">
        <v>2</v>
      </c>
      <c r="E5" s="2">
        <v>14</v>
      </c>
      <c r="F5" s="7">
        <f>(SUM((Table1[[#This Row],[Complexity (Cols)]]+(2*Table1[[#This Row],[Tables Extracted]]))/Table1[[#This Row],[Total Executes2]]))</f>
        <v>1.9285714285714286</v>
      </c>
      <c r="G5" t="str">
        <f t="shared" si="0"/>
        <v>many cols</v>
      </c>
      <c r="H5" t="str">
        <f t="shared" si="1"/>
        <v>few tables</v>
      </c>
      <c r="I5" t="str">
        <f t="shared" si="2"/>
        <v>many cols,few tables</v>
      </c>
      <c r="J5" s="2">
        <v>14</v>
      </c>
      <c r="K5" s="4">
        <f>(SUM(Table1[[#This Row],[Total Executes2]]/Table1[[#This Row],[Total Steps]]))</f>
        <v>0.25</v>
      </c>
    </row>
    <row r="6" spans="1:15" ht="15" thickBot="1" x14ac:dyDescent="0.4">
      <c r="A6" s="13">
        <v>5</v>
      </c>
      <c r="B6" s="2">
        <v>41</v>
      </c>
      <c r="C6" s="2">
        <v>4</v>
      </c>
      <c r="D6" s="2">
        <v>7</v>
      </c>
      <c r="E6" s="2">
        <v>18</v>
      </c>
      <c r="F6" s="7">
        <f>(SUM((Table1[[#This Row],[Complexity (Cols)]]+(2*Table1[[#This Row],[Tables Extracted]]))/Table1[[#This Row],[Total Executes2]]))</f>
        <v>1</v>
      </c>
      <c r="G6" t="str">
        <f t="shared" si="0"/>
        <v>few cols</v>
      </c>
      <c r="H6" t="str">
        <f t="shared" si="1"/>
        <v>many tables</v>
      </c>
      <c r="I6" t="str">
        <f t="shared" si="2"/>
        <v>few cols,many tables</v>
      </c>
      <c r="J6" s="2">
        <v>18</v>
      </c>
      <c r="K6" s="4">
        <f>(SUM(Table1[[#This Row],[Total Executes2]]/Table1[[#This Row],[Total Steps]]))</f>
        <v>0.43902439024390244</v>
      </c>
    </row>
    <row r="7" spans="1:15" ht="15" thickBot="1" x14ac:dyDescent="0.4">
      <c r="A7" s="13">
        <v>6</v>
      </c>
      <c r="B7" s="2">
        <v>22</v>
      </c>
      <c r="C7" s="2">
        <v>2</v>
      </c>
      <c r="D7" s="2">
        <v>3</v>
      </c>
      <c r="E7" s="2">
        <v>10</v>
      </c>
      <c r="F7" s="7">
        <f>(SUM((Table1[[#This Row],[Complexity (Cols)]]+(2*Table1[[#This Row],[Tables Extracted]]))/Table1[[#This Row],[Total Executes2]]))</f>
        <v>0.8</v>
      </c>
      <c r="G7" t="str">
        <f t="shared" si="0"/>
        <v>few cols</v>
      </c>
      <c r="H7" t="str">
        <f t="shared" si="1"/>
        <v>few tables</v>
      </c>
      <c r="I7" t="str">
        <f t="shared" si="2"/>
        <v>few cols,few tables</v>
      </c>
      <c r="J7" s="2">
        <v>10</v>
      </c>
      <c r="K7" s="4">
        <f>(SUM(Table1[[#This Row],[Total Executes2]]/Table1[[#This Row],[Total Steps]]))</f>
        <v>0.45454545454545453</v>
      </c>
    </row>
    <row r="8" spans="1:15" ht="15" thickBot="1" x14ac:dyDescent="0.4">
      <c r="A8" s="13">
        <v>7</v>
      </c>
      <c r="B8" s="2">
        <v>77</v>
      </c>
      <c r="C8" s="2">
        <v>16</v>
      </c>
      <c r="D8" s="2">
        <v>9</v>
      </c>
      <c r="E8" s="2">
        <v>26</v>
      </c>
      <c r="F8" s="7">
        <f>(SUM((Table1[[#This Row],[Complexity (Cols)]]+(2*Table1[[#This Row],[Tables Extracted]]))/Table1[[#This Row],[Total Executes2]]))</f>
        <v>1.3076923076923077</v>
      </c>
      <c r="G8" t="str">
        <f t="shared" si="0"/>
        <v>many cols</v>
      </c>
      <c r="H8" t="str">
        <f t="shared" si="1"/>
        <v>many tables</v>
      </c>
      <c r="I8" t="str">
        <f t="shared" si="2"/>
        <v>many cols,many tables</v>
      </c>
      <c r="J8" s="2">
        <v>26</v>
      </c>
      <c r="K8" s="4">
        <f>(SUM(Table1[[#This Row],[Total Executes2]]/Table1[[#This Row],[Total Steps]]))</f>
        <v>0.33766233766233766</v>
      </c>
    </row>
    <row r="9" spans="1:15" ht="15" thickBot="1" x14ac:dyDescent="0.4">
      <c r="A9" s="13">
        <v>8</v>
      </c>
      <c r="B9" s="2">
        <v>50</v>
      </c>
      <c r="C9" s="2">
        <v>2</v>
      </c>
      <c r="D9" s="2">
        <v>9</v>
      </c>
      <c r="E9" s="2">
        <v>22</v>
      </c>
      <c r="F9" s="7">
        <f>(SUM((Table1[[#This Row],[Complexity (Cols)]]+(2*Table1[[#This Row],[Tables Extracted]]))/Table1[[#This Row],[Total Executes2]]))</f>
        <v>0.90909090909090906</v>
      </c>
      <c r="G9" t="str">
        <f t="shared" si="0"/>
        <v>few cols</v>
      </c>
      <c r="H9" t="str">
        <f t="shared" si="1"/>
        <v>many tables</v>
      </c>
      <c r="I9" t="str">
        <f t="shared" si="2"/>
        <v>few cols,many tables</v>
      </c>
      <c r="J9" s="2">
        <v>22</v>
      </c>
      <c r="K9" s="4">
        <f>(SUM(Table1[[#This Row],[Total Executes2]]/Table1[[#This Row],[Total Steps]]))</f>
        <v>0.44</v>
      </c>
    </row>
    <row r="10" spans="1:15" ht="15" thickBot="1" x14ac:dyDescent="0.4">
      <c r="A10" s="13">
        <v>9</v>
      </c>
      <c r="B10" s="2">
        <v>62</v>
      </c>
      <c r="C10" s="2">
        <v>11</v>
      </c>
      <c r="D10" s="2">
        <v>8</v>
      </c>
      <c r="E10" s="2">
        <v>22</v>
      </c>
      <c r="F10" s="7">
        <f>(SUM((Table1[[#This Row],[Complexity (Cols)]]+(2*Table1[[#This Row],[Tables Extracted]]))/Table1[[#This Row],[Total Executes2]]))</f>
        <v>1.2272727272727273</v>
      </c>
      <c r="G10" t="str">
        <f t="shared" si="0"/>
        <v>many cols</v>
      </c>
      <c r="H10" t="str">
        <f t="shared" si="1"/>
        <v>many tables</v>
      </c>
      <c r="I10" t="str">
        <f t="shared" si="2"/>
        <v>many cols,many tables</v>
      </c>
      <c r="J10" s="2">
        <v>22</v>
      </c>
      <c r="K10" s="4">
        <f>(SUM(Table1[[#This Row],[Total Executes2]]/Table1[[#This Row],[Total Steps]]))</f>
        <v>0.35483870967741937</v>
      </c>
      <c r="N10" t="e" vm="1">
        <f>_xleta.AVERAGE</f>
        <v>#VALUE!</v>
      </c>
    </row>
    <row r="11" spans="1:15" ht="15" thickBot="1" x14ac:dyDescent="0.4">
      <c r="A11" s="13">
        <v>10</v>
      </c>
      <c r="B11" s="2">
        <v>39</v>
      </c>
      <c r="C11" s="2">
        <v>7</v>
      </c>
      <c r="D11" s="2">
        <v>5</v>
      </c>
      <c r="E11" s="2">
        <v>14</v>
      </c>
      <c r="F11" s="7">
        <f>(SUM((Table1[[#This Row],[Complexity (Cols)]]+(2*Table1[[#This Row],[Tables Extracted]]))/Table1[[#This Row],[Total Executes2]]))</f>
        <v>1.2142857142857142</v>
      </c>
      <c r="G11" t="str">
        <f t="shared" si="0"/>
        <v>many cols</v>
      </c>
      <c r="H11" t="str">
        <f t="shared" si="1"/>
        <v>few tables</v>
      </c>
      <c r="I11" t="str">
        <f t="shared" si="2"/>
        <v>many cols,few tables</v>
      </c>
      <c r="J11" s="2">
        <v>14</v>
      </c>
      <c r="K11" s="4">
        <f>(SUM(Table1[[#This Row],[Total Executes2]]/Table1[[#This Row],[Total Steps]]))</f>
        <v>0.35897435897435898</v>
      </c>
    </row>
    <row r="12" spans="1:15" ht="15" thickBot="1" x14ac:dyDescent="0.4">
      <c r="A12" s="13">
        <v>11</v>
      </c>
      <c r="B12" s="2">
        <v>30</v>
      </c>
      <c r="C12" s="2">
        <v>5</v>
      </c>
      <c r="D12" s="2">
        <v>4</v>
      </c>
      <c r="E12" s="2">
        <v>12</v>
      </c>
      <c r="F12" s="7">
        <f>(SUM((Table1[[#This Row],[Complexity (Cols)]]+(2*Table1[[#This Row],[Tables Extracted]]))/Table1[[#This Row],[Total Executes2]]))</f>
        <v>1.0833333333333333</v>
      </c>
      <c r="G12" t="str">
        <f t="shared" si="0"/>
        <v>few cols</v>
      </c>
      <c r="H12" t="str">
        <f t="shared" si="1"/>
        <v>few tables</v>
      </c>
      <c r="I12" t="str">
        <f t="shared" si="2"/>
        <v>few cols,few tables</v>
      </c>
      <c r="J12" s="2">
        <v>12</v>
      </c>
      <c r="K12" s="4">
        <f>(SUM(Table1[[#This Row],[Total Executes2]]/Table1[[#This Row],[Total Steps]]))</f>
        <v>0.4</v>
      </c>
    </row>
    <row r="13" spans="1:15" ht="15" thickBot="1" x14ac:dyDescent="0.4">
      <c r="A13" s="13">
        <v>12</v>
      </c>
      <c r="B13" s="2">
        <v>25</v>
      </c>
      <c r="C13" s="2">
        <v>2</v>
      </c>
      <c r="D13" s="2">
        <v>4</v>
      </c>
      <c r="E13" s="2">
        <v>12</v>
      </c>
      <c r="F13" s="7">
        <f>(SUM((Table1[[#This Row],[Complexity (Cols)]]+(2*Table1[[#This Row],[Tables Extracted]]))/Table1[[#This Row],[Total Executes2]]))</f>
        <v>0.83333333333333337</v>
      </c>
      <c r="G13" t="str">
        <f t="shared" si="0"/>
        <v>few cols</v>
      </c>
      <c r="H13" t="str">
        <f t="shared" si="1"/>
        <v>few tables</v>
      </c>
      <c r="I13" t="str">
        <f t="shared" si="2"/>
        <v>few cols,few tables</v>
      </c>
      <c r="J13" s="2">
        <v>12</v>
      </c>
      <c r="K13" s="4">
        <f>(SUM(Table1[[#This Row],[Total Executes2]]/Table1[[#This Row],[Total Steps]]))</f>
        <v>0.48</v>
      </c>
    </row>
    <row r="14" spans="1:15" ht="15" thickBot="1" x14ac:dyDescent="0.4">
      <c r="A14" s="13">
        <v>13</v>
      </c>
      <c r="B14" s="2">
        <v>37</v>
      </c>
      <c r="C14" s="2">
        <v>3</v>
      </c>
      <c r="D14" s="2">
        <v>6</v>
      </c>
      <c r="E14" s="2">
        <v>16</v>
      </c>
      <c r="F14" s="7">
        <f>(SUM((Table1[[#This Row],[Complexity (Cols)]]+(2*Table1[[#This Row],[Tables Extracted]]))/Table1[[#This Row],[Total Executes2]]))</f>
        <v>0.9375</v>
      </c>
      <c r="G14" t="str">
        <f t="shared" si="0"/>
        <v>few cols</v>
      </c>
      <c r="H14" t="str">
        <f t="shared" si="1"/>
        <v>few tables</v>
      </c>
      <c r="I14" t="str">
        <f t="shared" si="2"/>
        <v>few cols,few tables</v>
      </c>
      <c r="J14" s="2">
        <v>16</v>
      </c>
      <c r="K14" s="4">
        <f>(SUM(Table1[[#This Row],[Total Executes2]]/Table1[[#This Row],[Total Steps]]))</f>
        <v>0.43243243243243246</v>
      </c>
    </row>
    <row r="15" spans="1:15" ht="15" thickBot="1" x14ac:dyDescent="0.4">
      <c r="A15" s="13">
        <v>14</v>
      </c>
      <c r="B15" s="2">
        <v>50</v>
      </c>
      <c r="C15" s="2">
        <v>2</v>
      </c>
      <c r="D15" s="2">
        <v>9</v>
      </c>
      <c r="E15" s="2">
        <v>22</v>
      </c>
      <c r="F15" s="7">
        <f>(SUM((Table1[[#This Row],[Complexity (Cols)]]+(2*Table1[[#This Row],[Tables Extracted]]))/Table1[[#This Row],[Total Executes2]]))</f>
        <v>0.90909090909090906</v>
      </c>
      <c r="G15" t="str">
        <f t="shared" si="0"/>
        <v>few cols</v>
      </c>
      <c r="H15" t="str">
        <f t="shared" si="1"/>
        <v>many tables</v>
      </c>
      <c r="I15" t="str">
        <f t="shared" si="2"/>
        <v>few cols,many tables</v>
      </c>
      <c r="J15" s="2">
        <v>22</v>
      </c>
      <c r="K15" s="4">
        <f>(SUM(Table1[[#This Row],[Total Executes2]]/Table1[[#This Row],[Total Steps]]))</f>
        <v>0.44</v>
      </c>
    </row>
    <row r="16" spans="1:15" ht="15" thickBot="1" x14ac:dyDescent="0.4">
      <c r="A16" s="13">
        <v>15</v>
      </c>
      <c r="B16" s="2">
        <v>49</v>
      </c>
      <c r="C16" s="2">
        <v>7</v>
      </c>
      <c r="D16" s="2">
        <v>7</v>
      </c>
      <c r="E16" s="2">
        <v>18</v>
      </c>
      <c r="F16" s="7">
        <f>(SUM((Table1[[#This Row],[Complexity (Cols)]]+(2*Table1[[#This Row],[Tables Extracted]]))/Table1[[#This Row],[Total Executes2]]))</f>
        <v>1.1666666666666667</v>
      </c>
      <c r="G16" t="str">
        <f t="shared" si="0"/>
        <v>many cols</v>
      </c>
      <c r="H16" t="str">
        <f t="shared" si="1"/>
        <v>many tables</v>
      </c>
      <c r="I16" t="str">
        <f t="shared" si="2"/>
        <v>many cols,many tables</v>
      </c>
      <c r="J16" s="2">
        <v>18</v>
      </c>
      <c r="K16" s="4">
        <f>(SUM(Table1[[#This Row],[Total Executes2]]/Table1[[#This Row],[Total Steps]]))</f>
        <v>0.36734693877551022</v>
      </c>
    </row>
    <row r="17" spans="1:11" ht="15" thickBot="1" x14ac:dyDescent="0.4">
      <c r="A17" s="13">
        <v>16</v>
      </c>
      <c r="B17" s="2">
        <v>38</v>
      </c>
      <c r="C17" s="2">
        <v>4</v>
      </c>
      <c r="D17" s="2">
        <v>6</v>
      </c>
      <c r="E17" s="2">
        <v>16</v>
      </c>
      <c r="F17" s="7">
        <f>(SUM((Table1[[#This Row],[Complexity (Cols)]]+(2*Table1[[#This Row],[Tables Extracted]]))/Table1[[#This Row],[Total Executes2]]))</f>
        <v>1</v>
      </c>
      <c r="G17" t="str">
        <f t="shared" si="0"/>
        <v>few cols</v>
      </c>
      <c r="H17" t="str">
        <f t="shared" si="1"/>
        <v>few tables</v>
      </c>
      <c r="I17" t="str">
        <f t="shared" si="2"/>
        <v>few cols,few tables</v>
      </c>
      <c r="J17" s="2">
        <v>16</v>
      </c>
      <c r="K17" s="4">
        <f>(SUM(Table1[[#This Row],[Total Executes2]]/Table1[[#This Row],[Total Steps]]))</f>
        <v>0.42105263157894735</v>
      </c>
    </row>
    <row r="18" spans="1:11" ht="15" thickBot="1" x14ac:dyDescent="0.4">
      <c r="A18" s="13">
        <v>17</v>
      </c>
      <c r="B18" s="2">
        <v>47</v>
      </c>
      <c r="C18" s="2">
        <v>3</v>
      </c>
      <c r="D18" s="2">
        <v>8</v>
      </c>
      <c r="E18" s="2">
        <v>20</v>
      </c>
      <c r="F18" s="7">
        <f>(SUM((Table1[[#This Row],[Complexity (Cols)]]+(2*Table1[[#This Row],[Tables Extracted]]))/Table1[[#This Row],[Total Executes2]]))</f>
        <v>0.95</v>
      </c>
      <c r="G18" t="str">
        <f t="shared" si="0"/>
        <v>few cols</v>
      </c>
      <c r="H18" t="str">
        <f t="shared" si="1"/>
        <v>many tables</v>
      </c>
      <c r="I18" t="str">
        <f t="shared" si="2"/>
        <v>few cols,many tables</v>
      </c>
      <c r="J18" s="2">
        <v>20</v>
      </c>
      <c r="K18" s="4">
        <f>(SUM(Table1[[#This Row],[Total Executes2]]/Table1[[#This Row],[Total Steps]]))</f>
        <v>0.42553191489361702</v>
      </c>
    </row>
    <row r="19" spans="1:11" ht="15" thickBot="1" x14ac:dyDescent="0.4">
      <c r="A19" s="13">
        <v>18</v>
      </c>
      <c r="B19" s="2">
        <v>47</v>
      </c>
      <c r="C19" s="2">
        <v>3</v>
      </c>
      <c r="D19" s="2">
        <v>8</v>
      </c>
      <c r="E19" s="2">
        <v>20</v>
      </c>
      <c r="F19" s="7">
        <f>(SUM((Table1[[#This Row],[Complexity (Cols)]]+(2*Table1[[#This Row],[Tables Extracted]]))/Table1[[#This Row],[Total Executes2]]))</f>
        <v>0.95</v>
      </c>
      <c r="G19" t="str">
        <f t="shared" si="0"/>
        <v>few cols</v>
      </c>
      <c r="H19" t="str">
        <f t="shared" si="1"/>
        <v>many tables</v>
      </c>
      <c r="I19" t="str">
        <f t="shared" si="2"/>
        <v>few cols,many tables</v>
      </c>
      <c r="J19" s="2">
        <v>20</v>
      </c>
      <c r="K19" s="4">
        <f>(SUM(Table1[[#This Row],[Total Executes2]]/Table1[[#This Row],[Total Steps]]))</f>
        <v>0.42553191489361702</v>
      </c>
    </row>
    <row r="20" spans="1:11" ht="15" thickBot="1" x14ac:dyDescent="0.4">
      <c r="A20" s="13">
        <v>19</v>
      </c>
      <c r="B20" s="2">
        <v>58</v>
      </c>
      <c r="C20" s="2">
        <v>23</v>
      </c>
      <c r="D20" s="2">
        <v>2</v>
      </c>
      <c r="E20" s="2">
        <v>14</v>
      </c>
      <c r="F20" s="7">
        <f>(SUM((Table1[[#This Row],[Complexity (Cols)]]+(2*Table1[[#This Row],[Tables Extracted]]))/Table1[[#This Row],[Total Executes2]]))</f>
        <v>1.9285714285714286</v>
      </c>
      <c r="G20" t="str">
        <f t="shared" si="0"/>
        <v>many cols</v>
      </c>
      <c r="H20" t="str">
        <f t="shared" si="1"/>
        <v>few tables</v>
      </c>
      <c r="I20" t="str">
        <f t="shared" si="2"/>
        <v>many cols,few tables</v>
      </c>
      <c r="J20" s="2">
        <v>14</v>
      </c>
      <c r="K20" s="4">
        <f>(SUM(Table1[[#This Row],[Total Executes2]]/Table1[[#This Row],[Total Steps]]))</f>
        <v>0.2413793103448276</v>
      </c>
    </row>
    <row r="21" spans="1:11" ht="15" thickBot="1" x14ac:dyDescent="0.4">
      <c r="A21" s="13">
        <v>20</v>
      </c>
      <c r="B21" s="2">
        <v>43</v>
      </c>
      <c r="C21" s="2">
        <v>4</v>
      </c>
      <c r="D21" s="2">
        <v>7</v>
      </c>
      <c r="E21" s="2">
        <v>18</v>
      </c>
      <c r="F21" s="7">
        <f>(SUM((Table1[[#This Row],[Complexity (Cols)]]+(2*Table1[[#This Row],[Tables Extracted]]))/Table1[[#This Row],[Total Executes2]]))</f>
        <v>1</v>
      </c>
      <c r="G21" t="str">
        <f t="shared" si="0"/>
        <v>few cols</v>
      </c>
      <c r="H21" t="str">
        <f t="shared" si="1"/>
        <v>many tables</v>
      </c>
      <c r="I21" t="str">
        <f t="shared" si="2"/>
        <v>few cols,many tables</v>
      </c>
      <c r="J21" s="2">
        <v>18</v>
      </c>
      <c r="K21" s="4">
        <f>(SUM(Table1[[#This Row],[Total Executes2]]/Table1[[#This Row],[Total Steps]]))</f>
        <v>0.41860465116279072</v>
      </c>
    </row>
    <row r="22" spans="1:11" ht="15" thickBot="1" x14ac:dyDescent="0.4">
      <c r="A22" s="13">
        <v>21</v>
      </c>
      <c r="B22" s="2">
        <v>20</v>
      </c>
      <c r="C22" s="2">
        <v>2</v>
      </c>
      <c r="D22" s="2">
        <v>3</v>
      </c>
      <c r="E22" s="2">
        <v>9</v>
      </c>
      <c r="F22" s="7">
        <f>(SUM((Table1[[#This Row],[Complexity (Cols)]]+(2*Table1[[#This Row],[Tables Extracted]]))/Table1[[#This Row],[Total Executes2]]))</f>
        <v>0.88888888888888884</v>
      </c>
      <c r="G22" t="str">
        <f t="shared" si="0"/>
        <v>few cols</v>
      </c>
      <c r="H22" t="str">
        <f t="shared" si="1"/>
        <v>few tables</v>
      </c>
      <c r="I22" t="str">
        <f t="shared" si="2"/>
        <v>few cols,few tables</v>
      </c>
      <c r="J22" s="2">
        <v>9</v>
      </c>
      <c r="K22" s="4">
        <f>(SUM(Table1[[#This Row],[Total Executes2]]/Table1[[#This Row],[Total Steps]]))</f>
        <v>0.45</v>
      </c>
    </row>
    <row r="23" spans="1:11" ht="15" thickBot="1" x14ac:dyDescent="0.4">
      <c r="A23" s="13">
        <v>22</v>
      </c>
      <c r="B23" s="2">
        <v>77</v>
      </c>
      <c r="C23" s="2">
        <v>16</v>
      </c>
      <c r="D23" s="2">
        <v>9</v>
      </c>
      <c r="E23" s="2">
        <v>26</v>
      </c>
      <c r="F23" s="7">
        <f>(SUM((Table1[[#This Row],[Complexity (Cols)]]+(2*Table1[[#This Row],[Tables Extracted]]))/Table1[[#This Row],[Total Executes2]]))</f>
        <v>1.3076923076923077</v>
      </c>
      <c r="G23" t="str">
        <f t="shared" si="0"/>
        <v>many cols</v>
      </c>
      <c r="H23" t="str">
        <f t="shared" si="1"/>
        <v>many tables</v>
      </c>
      <c r="I23" t="str">
        <f t="shared" si="2"/>
        <v>many cols,many tables</v>
      </c>
      <c r="J23" s="2">
        <v>26</v>
      </c>
      <c r="K23" s="4">
        <f>(SUM(Table1[[#This Row],[Total Executes2]]/Table1[[#This Row],[Total Steps]]))</f>
        <v>0.33766233766233766</v>
      </c>
    </row>
    <row r="24" spans="1:11" ht="15" thickBot="1" x14ac:dyDescent="0.4">
      <c r="A24" s="13">
        <v>23</v>
      </c>
      <c r="B24" s="2">
        <v>50</v>
      </c>
      <c r="C24" s="2">
        <v>2</v>
      </c>
      <c r="D24" s="2">
        <v>9</v>
      </c>
      <c r="E24" s="2">
        <v>22</v>
      </c>
      <c r="F24" s="7">
        <f>(SUM((Table1[[#This Row],[Complexity (Cols)]]+(2*Table1[[#This Row],[Tables Extracted]]))/Table1[[#This Row],[Total Executes2]]))</f>
        <v>0.90909090909090906</v>
      </c>
      <c r="G24" t="str">
        <f t="shared" si="0"/>
        <v>few cols</v>
      </c>
      <c r="H24" t="str">
        <f t="shared" si="1"/>
        <v>many tables</v>
      </c>
      <c r="I24" t="str">
        <f t="shared" si="2"/>
        <v>few cols,many tables</v>
      </c>
      <c r="J24" s="2">
        <v>22</v>
      </c>
      <c r="K24" s="4">
        <f>(SUM(Table1[[#This Row],[Total Executes2]]/Table1[[#This Row],[Total Steps]]))</f>
        <v>0.44</v>
      </c>
    </row>
    <row r="25" spans="1:11" ht="15" thickBot="1" x14ac:dyDescent="0.4">
      <c r="A25" s="13">
        <v>24</v>
      </c>
      <c r="B25" s="2">
        <v>62</v>
      </c>
      <c r="C25" s="2">
        <v>11</v>
      </c>
      <c r="D25" s="2">
        <v>8</v>
      </c>
      <c r="E25" s="2">
        <v>22</v>
      </c>
      <c r="F25" s="7">
        <f>(SUM((Table1[[#This Row],[Complexity (Cols)]]+(2*Table1[[#This Row],[Tables Extracted]]))/Table1[[#This Row],[Total Executes2]]))</f>
        <v>1.2272727272727273</v>
      </c>
      <c r="G25" t="str">
        <f t="shared" si="0"/>
        <v>many cols</v>
      </c>
      <c r="H25" t="str">
        <f t="shared" si="1"/>
        <v>many tables</v>
      </c>
      <c r="I25" t="str">
        <f t="shared" si="2"/>
        <v>many cols,many tables</v>
      </c>
      <c r="J25" s="2">
        <v>22</v>
      </c>
      <c r="K25" s="4">
        <f>(SUM(Table1[[#This Row],[Total Executes2]]/Table1[[#This Row],[Total Steps]]))</f>
        <v>0.35483870967741937</v>
      </c>
    </row>
    <row r="26" spans="1:11" ht="15" thickBot="1" x14ac:dyDescent="0.4">
      <c r="A26" s="13">
        <v>25</v>
      </c>
      <c r="B26" s="1">
        <v>100</v>
      </c>
      <c r="C26" s="1">
        <v>22</v>
      </c>
      <c r="D26" s="1">
        <v>11</v>
      </c>
      <c r="E26" s="1">
        <v>44</v>
      </c>
      <c r="F26" s="7">
        <f>(SUM((Table1[[#This Row],[Complexity (Cols)]]+(2*Table1[[#This Row],[Tables Extracted]]))/Table1[[#This Row],[Total Executes2]]))</f>
        <v>1</v>
      </c>
      <c r="G26" t="str">
        <f t="shared" si="0"/>
        <v>many cols</v>
      </c>
      <c r="H26" t="str">
        <f t="shared" si="1"/>
        <v>many tables</v>
      </c>
      <c r="I26" t="str">
        <f t="shared" si="2"/>
        <v>many cols,many tables</v>
      </c>
      <c r="J26" s="1">
        <v>44</v>
      </c>
      <c r="K26" s="4">
        <f>(SUM(Table1[[#This Row],[Total Executes2]]/Table1[[#This Row],[Total Steps]]))</f>
        <v>0.44</v>
      </c>
    </row>
    <row r="27" spans="1:11" ht="15" thickBot="1" x14ac:dyDescent="0.4">
      <c r="A27" s="13">
        <v>26</v>
      </c>
      <c r="B27" s="2">
        <v>30</v>
      </c>
      <c r="C27" s="2">
        <v>5</v>
      </c>
      <c r="D27" s="2">
        <v>4</v>
      </c>
      <c r="E27" s="2">
        <v>12</v>
      </c>
      <c r="F27" s="7">
        <f>(SUM((Table1[[#This Row],[Complexity (Cols)]]+(2*Table1[[#This Row],[Tables Extracted]]))/Table1[[#This Row],[Total Executes2]]))</f>
        <v>1.0833333333333333</v>
      </c>
      <c r="G27" t="str">
        <f t="shared" si="0"/>
        <v>few cols</v>
      </c>
      <c r="H27" t="str">
        <f t="shared" si="1"/>
        <v>few tables</v>
      </c>
      <c r="I27" t="str">
        <f t="shared" si="2"/>
        <v>few cols,few tables</v>
      </c>
      <c r="J27" s="2">
        <v>12</v>
      </c>
      <c r="K27" s="4">
        <f>(SUM(Table1[[#This Row],[Total Executes2]]/Table1[[#This Row],[Total Steps]]))</f>
        <v>0.4</v>
      </c>
    </row>
    <row r="28" spans="1:11" ht="15" thickBot="1" x14ac:dyDescent="0.4">
      <c r="A28" s="13">
        <v>27</v>
      </c>
      <c r="B28" s="2">
        <v>25</v>
      </c>
      <c r="C28" s="2">
        <v>2</v>
      </c>
      <c r="D28" s="2">
        <v>4</v>
      </c>
      <c r="E28" s="2">
        <v>12</v>
      </c>
      <c r="F28" s="7">
        <f>(SUM((Table1[[#This Row],[Complexity (Cols)]]+(2*Table1[[#This Row],[Tables Extracted]]))/Table1[[#This Row],[Total Executes2]]))</f>
        <v>0.83333333333333337</v>
      </c>
      <c r="G28" t="str">
        <f t="shared" si="0"/>
        <v>few cols</v>
      </c>
      <c r="H28" t="str">
        <f t="shared" si="1"/>
        <v>few tables</v>
      </c>
      <c r="I28" t="str">
        <f t="shared" si="2"/>
        <v>few cols,few tables</v>
      </c>
      <c r="J28" s="2">
        <v>12</v>
      </c>
      <c r="K28" s="4">
        <f>(SUM(Table1[[#This Row],[Total Executes2]]/Table1[[#This Row],[Total Steps]]))</f>
        <v>0.48</v>
      </c>
    </row>
    <row r="29" spans="1:11" ht="15" thickBot="1" x14ac:dyDescent="0.4">
      <c r="A29" s="13">
        <v>28</v>
      </c>
      <c r="B29" s="2">
        <v>37</v>
      </c>
      <c r="C29" s="2">
        <v>3</v>
      </c>
      <c r="D29" s="2">
        <v>6</v>
      </c>
      <c r="E29" s="2">
        <v>16</v>
      </c>
      <c r="F29" s="7">
        <f>(SUM((Table1[[#This Row],[Complexity (Cols)]]+(2*Table1[[#This Row],[Tables Extracted]]))/Table1[[#This Row],[Total Executes2]]))</f>
        <v>0.9375</v>
      </c>
      <c r="G29" t="str">
        <f t="shared" si="0"/>
        <v>few cols</v>
      </c>
      <c r="H29" t="str">
        <f t="shared" si="1"/>
        <v>few tables</v>
      </c>
      <c r="I29" t="str">
        <f t="shared" si="2"/>
        <v>few cols,few tables</v>
      </c>
      <c r="J29" s="2">
        <v>16</v>
      </c>
      <c r="K29" s="4">
        <f>(SUM(Table1[[#This Row],[Total Executes2]]/Table1[[#This Row],[Total Steps]]))</f>
        <v>0.43243243243243246</v>
      </c>
    </row>
    <row r="30" spans="1:11" ht="15" thickBot="1" x14ac:dyDescent="0.4">
      <c r="A30" s="13">
        <v>29</v>
      </c>
      <c r="B30" s="2">
        <v>50</v>
      </c>
      <c r="C30" s="2">
        <v>2</v>
      </c>
      <c r="D30" s="2">
        <v>9</v>
      </c>
      <c r="E30" s="2">
        <v>22</v>
      </c>
      <c r="F30" s="7">
        <f>(SUM((Table1[[#This Row],[Complexity (Cols)]]+(2*Table1[[#This Row],[Tables Extracted]]))/Table1[[#This Row],[Total Executes2]]))</f>
        <v>0.90909090909090906</v>
      </c>
      <c r="G30" t="str">
        <f t="shared" si="0"/>
        <v>few cols</v>
      </c>
      <c r="H30" t="str">
        <f t="shared" si="1"/>
        <v>many tables</v>
      </c>
      <c r="I30" t="str">
        <f t="shared" si="2"/>
        <v>few cols,many tables</v>
      </c>
      <c r="J30" s="2">
        <v>22</v>
      </c>
      <c r="K30" s="4">
        <f>(SUM(Table1[[#This Row],[Total Executes2]]/Table1[[#This Row],[Total Steps]]))</f>
        <v>0.44</v>
      </c>
    </row>
    <row r="31" spans="1:11" ht="15" thickBot="1" x14ac:dyDescent="0.4">
      <c r="A31" s="13">
        <v>30</v>
      </c>
      <c r="B31" s="2">
        <v>49</v>
      </c>
      <c r="C31" s="2">
        <v>7</v>
      </c>
      <c r="D31" s="2">
        <v>7</v>
      </c>
      <c r="E31" s="2">
        <v>18</v>
      </c>
      <c r="F31" s="7">
        <f>(SUM((Table1[[#This Row],[Complexity (Cols)]]+(2*Table1[[#This Row],[Tables Extracted]]))/Table1[[#This Row],[Total Executes2]]))</f>
        <v>1.1666666666666667</v>
      </c>
      <c r="G31" t="str">
        <f t="shared" si="0"/>
        <v>many cols</v>
      </c>
      <c r="H31" t="str">
        <f t="shared" si="1"/>
        <v>many tables</v>
      </c>
      <c r="I31" t="str">
        <f t="shared" si="2"/>
        <v>many cols,many tables</v>
      </c>
      <c r="J31" s="2">
        <v>18</v>
      </c>
      <c r="K31" s="4">
        <f>(SUM(Table1[[#This Row],[Total Executes2]]/Table1[[#This Row],[Total Steps]]))</f>
        <v>0.36734693877551022</v>
      </c>
    </row>
    <row r="32" spans="1:11" ht="15" thickBot="1" x14ac:dyDescent="0.4">
      <c r="A32" s="13">
        <v>31</v>
      </c>
      <c r="B32" s="2">
        <v>63</v>
      </c>
      <c r="C32" s="2">
        <v>9</v>
      </c>
      <c r="D32" s="2">
        <v>9</v>
      </c>
      <c r="E32" s="2">
        <v>24</v>
      </c>
      <c r="F32" s="7">
        <f>(SUM((Table1[[#This Row],[Complexity (Cols)]]+(2*Table1[[#This Row],[Tables Extracted]]))/Table1[[#This Row],[Total Executes2]]))</f>
        <v>1.125</v>
      </c>
      <c r="G32" t="str">
        <f t="shared" si="0"/>
        <v>many cols</v>
      </c>
      <c r="H32" t="str">
        <f t="shared" si="1"/>
        <v>many tables</v>
      </c>
      <c r="I32" t="str">
        <f t="shared" si="2"/>
        <v>many cols,many tables</v>
      </c>
      <c r="J32" s="2">
        <v>24</v>
      </c>
      <c r="K32" s="4">
        <f>(SUM(Table1[[#This Row],[Total Executes2]]/Table1[[#This Row],[Total Steps]]))</f>
        <v>0.38095238095238093</v>
      </c>
    </row>
    <row r="33" spans="1:11" ht="15" thickBot="1" x14ac:dyDescent="0.4">
      <c r="A33" s="13">
        <v>32</v>
      </c>
      <c r="B33" s="2">
        <v>53</v>
      </c>
      <c r="C33" s="2">
        <v>4</v>
      </c>
      <c r="D33" s="2">
        <v>9</v>
      </c>
      <c r="E33" s="2">
        <v>23</v>
      </c>
      <c r="F33" s="7">
        <f>(SUM((Table1[[#This Row],[Complexity (Cols)]]+(2*Table1[[#This Row],[Tables Extracted]]))/Table1[[#This Row],[Total Executes2]]))</f>
        <v>0.95652173913043481</v>
      </c>
      <c r="G33" t="str">
        <f t="shared" si="0"/>
        <v>few cols</v>
      </c>
      <c r="H33" t="str">
        <f t="shared" si="1"/>
        <v>many tables</v>
      </c>
      <c r="I33" t="str">
        <f t="shared" si="2"/>
        <v>few cols,many tables</v>
      </c>
      <c r="J33" s="2">
        <v>23</v>
      </c>
      <c r="K33" s="4">
        <f>(SUM(Table1[[#This Row],[Total Executes2]]/Table1[[#This Row],[Total Steps]]))</f>
        <v>0.43396226415094341</v>
      </c>
    </row>
    <row r="34" spans="1:11" ht="15" thickBot="1" x14ac:dyDescent="0.4">
      <c r="A34" s="13">
        <v>33</v>
      </c>
      <c r="B34" s="2">
        <v>33</v>
      </c>
      <c r="C34" s="2">
        <v>4</v>
      </c>
      <c r="D34" s="2">
        <v>5</v>
      </c>
      <c r="E34" s="2">
        <v>14</v>
      </c>
      <c r="F34" s="7">
        <f>(SUM((Table1[[#This Row],[Complexity (Cols)]]+(2*Table1[[#This Row],[Tables Extracted]]))/Table1[[#This Row],[Total Executes2]]))</f>
        <v>1</v>
      </c>
      <c r="G34" t="str">
        <f t="shared" si="0"/>
        <v>few cols</v>
      </c>
      <c r="H34" t="str">
        <f t="shared" si="1"/>
        <v>few tables</v>
      </c>
      <c r="I34" t="str">
        <f t="shared" si="2"/>
        <v>few cols,few tables</v>
      </c>
      <c r="J34" s="2">
        <v>14</v>
      </c>
      <c r="K34" s="4">
        <f>(SUM(Table1[[#This Row],[Total Executes2]]/Table1[[#This Row],[Total Steps]]))</f>
        <v>0.42424242424242425</v>
      </c>
    </row>
    <row r="35" spans="1:11" ht="15" thickBot="1" x14ac:dyDescent="0.4">
      <c r="A35" s="13">
        <v>34</v>
      </c>
      <c r="B35" s="2">
        <v>56</v>
      </c>
      <c r="C35" s="2">
        <v>23</v>
      </c>
      <c r="D35" s="2">
        <v>2</v>
      </c>
      <c r="E35" s="2">
        <v>14</v>
      </c>
      <c r="F35" s="7">
        <f>(SUM((Table1[[#This Row],[Complexity (Cols)]]+(2*Table1[[#This Row],[Tables Extracted]]))/Table1[[#This Row],[Total Executes2]]))</f>
        <v>1.9285714285714286</v>
      </c>
      <c r="G35" t="str">
        <f t="shared" si="0"/>
        <v>many cols</v>
      </c>
      <c r="H35" t="str">
        <f t="shared" si="1"/>
        <v>few tables</v>
      </c>
      <c r="I35" t="str">
        <f t="shared" si="2"/>
        <v>many cols,few tables</v>
      </c>
      <c r="J35" s="2">
        <v>14</v>
      </c>
      <c r="K35" s="4">
        <f>(SUM(Table1[[#This Row],[Total Executes2]]/Table1[[#This Row],[Total Steps]]))</f>
        <v>0.25</v>
      </c>
    </row>
    <row r="36" spans="1:11" ht="15" thickBot="1" x14ac:dyDescent="0.4">
      <c r="A36" s="13">
        <v>35</v>
      </c>
      <c r="B36" s="2">
        <v>41</v>
      </c>
      <c r="C36" s="2">
        <v>4</v>
      </c>
      <c r="D36" s="2">
        <v>7</v>
      </c>
      <c r="E36" s="2">
        <v>18</v>
      </c>
      <c r="F36" s="7">
        <f>(SUM((Table1[[#This Row],[Complexity (Cols)]]+(2*Table1[[#This Row],[Tables Extracted]]))/Table1[[#This Row],[Total Executes2]]))</f>
        <v>1</v>
      </c>
      <c r="G36" t="str">
        <f t="shared" si="0"/>
        <v>few cols</v>
      </c>
      <c r="H36" t="str">
        <f t="shared" si="1"/>
        <v>many tables</v>
      </c>
      <c r="I36" t="str">
        <f t="shared" si="2"/>
        <v>few cols,many tables</v>
      </c>
      <c r="J36" s="2">
        <v>18</v>
      </c>
      <c r="K36" s="4">
        <f>(SUM(Table1[[#This Row],[Total Executes2]]/Table1[[#This Row],[Total Steps]]))</f>
        <v>0.43902439024390244</v>
      </c>
    </row>
    <row r="37" spans="1:11" ht="15" thickBot="1" x14ac:dyDescent="0.4">
      <c r="A37" s="13">
        <v>36</v>
      </c>
      <c r="B37" s="2">
        <v>22</v>
      </c>
      <c r="C37" s="2">
        <v>2</v>
      </c>
      <c r="D37" s="2">
        <v>3</v>
      </c>
      <c r="E37" s="2">
        <v>10</v>
      </c>
      <c r="F37" s="7">
        <f>(SUM((Table1[[#This Row],[Complexity (Cols)]]+(2*Table1[[#This Row],[Tables Extracted]]))/Table1[[#This Row],[Total Executes2]]))</f>
        <v>0.8</v>
      </c>
      <c r="G37" t="str">
        <f t="shared" si="0"/>
        <v>few cols</v>
      </c>
      <c r="H37" t="str">
        <f t="shared" si="1"/>
        <v>few tables</v>
      </c>
      <c r="I37" t="str">
        <f t="shared" si="2"/>
        <v>few cols,few tables</v>
      </c>
      <c r="J37" s="2">
        <v>10</v>
      </c>
      <c r="K37" s="4">
        <f>(SUM(Table1[[#This Row],[Total Executes2]]/Table1[[#This Row],[Total Steps]]))</f>
        <v>0.45454545454545453</v>
      </c>
    </row>
    <row r="38" spans="1:11" ht="15" thickBot="1" x14ac:dyDescent="0.4">
      <c r="A38" s="13">
        <v>37</v>
      </c>
      <c r="B38" s="2">
        <v>77</v>
      </c>
      <c r="C38" s="2">
        <v>16</v>
      </c>
      <c r="D38" s="2">
        <v>9</v>
      </c>
      <c r="E38" s="2">
        <v>26</v>
      </c>
      <c r="F38" s="7">
        <f>(SUM((Table1[[#This Row],[Complexity (Cols)]]+(2*Table1[[#This Row],[Tables Extracted]]))/Table1[[#This Row],[Total Executes2]]))</f>
        <v>1.3076923076923077</v>
      </c>
      <c r="G38" t="str">
        <f t="shared" si="0"/>
        <v>many cols</v>
      </c>
      <c r="H38" t="str">
        <f t="shared" si="1"/>
        <v>many tables</v>
      </c>
      <c r="I38" t="str">
        <f t="shared" si="2"/>
        <v>many cols,many tables</v>
      </c>
      <c r="J38" s="2">
        <v>26</v>
      </c>
      <c r="K38" s="4">
        <f>(SUM(Table1[[#This Row],[Total Executes2]]/Table1[[#This Row],[Total Steps]]))</f>
        <v>0.33766233766233766</v>
      </c>
    </row>
    <row r="39" spans="1:11" ht="15" thickBot="1" x14ac:dyDescent="0.4">
      <c r="A39" s="13">
        <v>38</v>
      </c>
      <c r="B39" s="2">
        <v>50</v>
      </c>
      <c r="C39" s="2">
        <v>2</v>
      </c>
      <c r="D39" s="2">
        <v>9</v>
      </c>
      <c r="E39" s="2">
        <v>22</v>
      </c>
      <c r="F39" s="7">
        <f>(SUM((Table1[[#This Row],[Complexity (Cols)]]+(2*Table1[[#This Row],[Tables Extracted]]))/Table1[[#This Row],[Total Executes2]]))</f>
        <v>0.90909090909090906</v>
      </c>
      <c r="G39" t="str">
        <f t="shared" si="0"/>
        <v>few cols</v>
      </c>
      <c r="H39" t="str">
        <f t="shared" si="1"/>
        <v>many tables</v>
      </c>
      <c r="I39" t="str">
        <f t="shared" si="2"/>
        <v>few cols,many tables</v>
      </c>
      <c r="J39" s="2">
        <v>22</v>
      </c>
      <c r="K39" s="4">
        <f>(SUM(Table1[[#This Row],[Total Executes2]]/Table1[[#This Row],[Total Steps]]))</f>
        <v>0.44</v>
      </c>
    </row>
    <row r="40" spans="1:11" ht="15" thickBot="1" x14ac:dyDescent="0.4">
      <c r="A40" s="13">
        <v>39</v>
      </c>
      <c r="B40" s="2">
        <v>62</v>
      </c>
      <c r="C40" s="2">
        <v>11</v>
      </c>
      <c r="D40" s="2">
        <v>8</v>
      </c>
      <c r="E40" s="2">
        <v>22</v>
      </c>
      <c r="F40" s="7">
        <f>(SUM((Table1[[#This Row],[Complexity (Cols)]]+(2*Table1[[#This Row],[Tables Extracted]]))/Table1[[#This Row],[Total Executes2]]))</f>
        <v>1.2272727272727273</v>
      </c>
      <c r="G40" t="str">
        <f t="shared" si="0"/>
        <v>many cols</v>
      </c>
      <c r="H40" t="str">
        <f t="shared" si="1"/>
        <v>many tables</v>
      </c>
      <c r="I40" t="str">
        <f t="shared" si="2"/>
        <v>many cols,many tables</v>
      </c>
      <c r="J40" s="2">
        <v>22</v>
      </c>
      <c r="K40" s="4">
        <f>(SUM(Table1[[#This Row],[Total Executes2]]/Table1[[#This Row],[Total Steps]]))</f>
        <v>0.35483870967741937</v>
      </c>
    </row>
    <row r="41" spans="1:11" ht="15" thickBot="1" x14ac:dyDescent="0.4">
      <c r="A41" s="13">
        <v>40</v>
      </c>
      <c r="B41" s="2">
        <v>39</v>
      </c>
      <c r="C41" s="2">
        <v>7</v>
      </c>
      <c r="D41" s="2">
        <v>5</v>
      </c>
      <c r="E41" s="2">
        <v>14</v>
      </c>
      <c r="F41" s="7">
        <f>(SUM((Table1[[#This Row],[Complexity (Cols)]]+(2*Table1[[#This Row],[Tables Extracted]]))/Table1[[#This Row],[Total Executes2]]))</f>
        <v>1.2142857142857142</v>
      </c>
      <c r="G41" t="str">
        <f t="shared" si="0"/>
        <v>many cols</v>
      </c>
      <c r="H41" t="str">
        <f t="shared" si="1"/>
        <v>few tables</v>
      </c>
      <c r="I41" t="str">
        <f t="shared" si="2"/>
        <v>many cols,few tables</v>
      </c>
      <c r="J41" s="2">
        <v>14</v>
      </c>
      <c r="K41" s="4">
        <f>(SUM(Table1[[#This Row],[Total Executes2]]/Table1[[#This Row],[Total Steps]]))</f>
        <v>0.35897435897435898</v>
      </c>
    </row>
    <row r="42" spans="1:11" ht="15" thickBot="1" x14ac:dyDescent="0.4">
      <c r="A42" s="13">
        <v>41</v>
      </c>
      <c r="B42" s="2">
        <v>30</v>
      </c>
      <c r="C42" s="2">
        <v>5</v>
      </c>
      <c r="D42" s="2">
        <v>4</v>
      </c>
      <c r="E42" s="2">
        <v>12</v>
      </c>
      <c r="F42" s="7">
        <f>(SUM((Table1[[#This Row],[Complexity (Cols)]]+(2*Table1[[#This Row],[Tables Extracted]]))/Table1[[#This Row],[Total Executes2]]))</f>
        <v>1.0833333333333333</v>
      </c>
      <c r="G42" t="str">
        <f t="shared" si="0"/>
        <v>few cols</v>
      </c>
      <c r="H42" t="str">
        <f t="shared" si="1"/>
        <v>few tables</v>
      </c>
      <c r="I42" t="str">
        <f t="shared" si="2"/>
        <v>few cols,few tables</v>
      </c>
      <c r="J42" s="2">
        <v>12</v>
      </c>
      <c r="K42" s="4">
        <f>(SUM(Table1[[#This Row],[Total Executes2]]/Table1[[#This Row],[Total Steps]]))</f>
        <v>0.4</v>
      </c>
    </row>
    <row r="43" spans="1:11" ht="15" thickBot="1" x14ac:dyDescent="0.4">
      <c r="A43" s="13">
        <v>42</v>
      </c>
      <c r="B43" s="2">
        <v>25</v>
      </c>
      <c r="C43" s="2">
        <v>2</v>
      </c>
      <c r="D43" s="2">
        <v>4</v>
      </c>
      <c r="E43" s="2">
        <v>12</v>
      </c>
      <c r="F43" s="7">
        <f>(SUM((Table1[[#This Row],[Complexity (Cols)]]+(2*Table1[[#This Row],[Tables Extracted]]))/Table1[[#This Row],[Total Executes2]]))</f>
        <v>0.83333333333333337</v>
      </c>
      <c r="G43" t="str">
        <f t="shared" si="0"/>
        <v>few cols</v>
      </c>
      <c r="H43" t="str">
        <f t="shared" si="1"/>
        <v>few tables</v>
      </c>
      <c r="I43" t="str">
        <f t="shared" si="2"/>
        <v>few cols,few tables</v>
      </c>
      <c r="J43" s="2">
        <v>12</v>
      </c>
      <c r="K43" s="4">
        <f>(SUM(Table1[[#This Row],[Total Executes2]]/Table1[[#This Row],[Total Steps]]))</f>
        <v>0.48</v>
      </c>
    </row>
    <row r="44" spans="1:11" ht="15" thickBot="1" x14ac:dyDescent="0.4">
      <c r="A44" s="13">
        <v>43</v>
      </c>
      <c r="B44" s="2">
        <v>37</v>
      </c>
      <c r="C44" s="2">
        <v>3</v>
      </c>
      <c r="D44" s="2">
        <v>6</v>
      </c>
      <c r="E44" s="2">
        <v>16</v>
      </c>
      <c r="F44" s="7">
        <f>(SUM((Table1[[#This Row],[Complexity (Cols)]]+(2*Table1[[#This Row],[Tables Extracted]]))/Table1[[#This Row],[Total Executes2]]))</f>
        <v>0.9375</v>
      </c>
      <c r="G44" t="str">
        <f t="shared" si="0"/>
        <v>few cols</v>
      </c>
      <c r="H44" t="str">
        <f t="shared" si="1"/>
        <v>few tables</v>
      </c>
      <c r="I44" t="str">
        <f t="shared" si="2"/>
        <v>few cols,few tables</v>
      </c>
      <c r="J44" s="2">
        <v>16</v>
      </c>
      <c r="K44" s="4">
        <f>(SUM(Table1[[#This Row],[Total Executes2]]/Table1[[#This Row],[Total Steps]]))</f>
        <v>0.43243243243243246</v>
      </c>
    </row>
    <row r="45" spans="1:11" ht="15" thickBot="1" x14ac:dyDescent="0.4">
      <c r="A45" s="13">
        <v>44</v>
      </c>
      <c r="B45" s="2">
        <v>50</v>
      </c>
      <c r="C45" s="2">
        <v>2</v>
      </c>
      <c r="D45" s="2">
        <v>9</v>
      </c>
      <c r="E45" s="2">
        <v>22</v>
      </c>
      <c r="F45" s="7">
        <f>(SUM((Table1[[#This Row],[Complexity (Cols)]]+(2*Table1[[#This Row],[Tables Extracted]]))/Table1[[#This Row],[Total Executes2]]))</f>
        <v>0.90909090909090906</v>
      </c>
      <c r="G45" t="str">
        <f t="shared" si="0"/>
        <v>few cols</v>
      </c>
      <c r="H45" t="str">
        <f t="shared" si="1"/>
        <v>many tables</v>
      </c>
      <c r="I45" t="str">
        <f t="shared" si="2"/>
        <v>few cols,many tables</v>
      </c>
      <c r="J45" s="2">
        <v>22</v>
      </c>
      <c r="K45" s="4">
        <f>(SUM(Table1[[#This Row],[Total Executes2]]/Table1[[#This Row],[Total Steps]]))</f>
        <v>0.44</v>
      </c>
    </row>
    <row r="46" spans="1:11" ht="15" thickBot="1" x14ac:dyDescent="0.4">
      <c r="A46" s="13">
        <v>45</v>
      </c>
      <c r="B46" s="2">
        <v>49</v>
      </c>
      <c r="C46" s="2">
        <v>7</v>
      </c>
      <c r="D46" s="2">
        <v>7</v>
      </c>
      <c r="E46" s="2">
        <v>18</v>
      </c>
      <c r="F46" s="7">
        <f>(SUM((Table1[[#This Row],[Complexity (Cols)]]+(2*Table1[[#This Row],[Tables Extracted]]))/Table1[[#This Row],[Total Executes2]]))</f>
        <v>1.1666666666666667</v>
      </c>
      <c r="G46" t="str">
        <f t="shared" si="0"/>
        <v>many cols</v>
      </c>
      <c r="H46" t="str">
        <f t="shared" si="1"/>
        <v>many tables</v>
      </c>
      <c r="I46" t="str">
        <f t="shared" si="2"/>
        <v>many cols,many tables</v>
      </c>
      <c r="J46" s="2">
        <v>18</v>
      </c>
      <c r="K46" s="4">
        <f>(SUM(Table1[[#This Row],[Total Executes2]]/Table1[[#This Row],[Total Steps]]))</f>
        <v>0.36734693877551022</v>
      </c>
    </row>
    <row r="47" spans="1:11" ht="15" thickBot="1" x14ac:dyDescent="0.4">
      <c r="A47" s="13">
        <v>46</v>
      </c>
      <c r="B47" s="2">
        <v>39</v>
      </c>
      <c r="C47" s="2">
        <v>4</v>
      </c>
      <c r="D47" s="2">
        <v>6</v>
      </c>
      <c r="E47" s="2">
        <v>17</v>
      </c>
      <c r="F47" s="7">
        <f>(SUM((Table1[[#This Row],[Complexity (Cols)]]+(2*Table1[[#This Row],[Tables Extracted]]))/Table1[[#This Row],[Total Executes2]]))</f>
        <v>0.94117647058823528</v>
      </c>
      <c r="G47" t="str">
        <f t="shared" si="0"/>
        <v>few cols</v>
      </c>
      <c r="H47" t="str">
        <f t="shared" si="1"/>
        <v>few tables</v>
      </c>
      <c r="I47" t="str">
        <f t="shared" si="2"/>
        <v>few cols,few tables</v>
      </c>
      <c r="J47" s="2">
        <v>17</v>
      </c>
      <c r="K47" s="4">
        <f>(SUM(Table1[[#This Row],[Total Executes2]]/Table1[[#This Row],[Total Steps]]))</f>
        <v>0.4358974358974359</v>
      </c>
    </row>
    <row r="48" spans="1:11" ht="15" thickBot="1" x14ac:dyDescent="0.4">
      <c r="A48" s="13">
        <v>47</v>
      </c>
      <c r="B48" s="2">
        <v>45</v>
      </c>
      <c r="C48" s="2">
        <v>2</v>
      </c>
      <c r="D48" s="2">
        <v>8</v>
      </c>
      <c r="E48" s="2">
        <v>21</v>
      </c>
      <c r="F48" s="7">
        <f>(SUM((Table1[[#This Row],[Complexity (Cols)]]+(2*Table1[[#This Row],[Tables Extracted]]))/Table1[[#This Row],[Total Executes2]]))</f>
        <v>0.8571428571428571</v>
      </c>
      <c r="G48" t="str">
        <f t="shared" si="0"/>
        <v>few cols</v>
      </c>
      <c r="H48" t="str">
        <f t="shared" si="1"/>
        <v>many tables</v>
      </c>
      <c r="I48" t="str">
        <f t="shared" si="2"/>
        <v>few cols,many tables</v>
      </c>
      <c r="J48" s="2">
        <v>21</v>
      </c>
      <c r="K48" s="4">
        <f>(SUM(Table1[[#This Row],[Total Executes2]]/Table1[[#This Row],[Total Steps]]))</f>
        <v>0.46666666666666667</v>
      </c>
    </row>
    <row r="49" spans="1:11" ht="15" thickBot="1" x14ac:dyDescent="0.4">
      <c r="A49" s="13">
        <v>48</v>
      </c>
      <c r="B49" s="2">
        <v>51</v>
      </c>
      <c r="C49" s="2">
        <v>15</v>
      </c>
      <c r="D49" s="2">
        <v>4</v>
      </c>
      <c r="E49" s="2">
        <v>15</v>
      </c>
      <c r="F49" s="7">
        <f>(SUM((Table1[[#This Row],[Complexity (Cols)]]+(2*Table1[[#This Row],[Tables Extracted]]))/Table1[[#This Row],[Total Executes2]]))</f>
        <v>1.5333333333333334</v>
      </c>
      <c r="G49" t="str">
        <f t="shared" si="0"/>
        <v>many cols</v>
      </c>
      <c r="H49" t="str">
        <f t="shared" si="1"/>
        <v>few tables</v>
      </c>
      <c r="I49" t="str">
        <f t="shared" si="2"/>
        <v>many cols,few tables</v>
      </c>
      <c r="J49" s="2">
        <v>15</v>
      </c>
      <c r="K49" s="4">
        <f>(SUM(Table1[[#This Row],[Total Executes2]]/Table1[[#This Row],[Total Steps]]))</f>
        <v>0.29411764705882354</v>
      </c>
    </row>
    <row r="50" spans="1:11" ht="15" thickBot="1" x14ac:dyDescent="0.4">
      <c r="A50" s="13">
        <v>49</v>
      </c>
      <c r="B50" s="2">
        <v>28</v>
      </c>
      <c r="C50" s="2">
        <v>4</v>
      </c>
      <c r="D50" s="2">
        <v>4</v>
      </c>
      <c r="E50" s="2">
        <v>13</v>
      </c>
      <c r="F50" s="7">
        <f>(SUM((Table1[[#This Row],[Complexity (Cols)]]+(2*Table1[[#This Row],[Tables Extracted]]))/Table1[[#This Row],[Total Executes2]]))</f>
        <v>0.92307692307692313</v>
      </c>
      <c r="G50" t="str">
        <f t="shared" si="0"/>
        <v>few cols</v>
      </c>
      <c r="H50" t="str">
        <f t="shared" si="1"/>
        <v>few tables</v>
      </c>
      <c r="I50" t="str">
        <f t="shared" si="2"/>
        <v>few cols,few tables</v>
      </c>
      <c r="J50" s="2">
        <v>13</v>
      </c>
      <c r="K50" s="4">
        <f>(SUM(Table1[[#This Row],[Total Executes2]]/Table1[[#This Row],[Total Steps]]))</f>
        <v>0.4642857142857143</v>
      </c>
    </row>
    <row r="51" spans="1:11" ht="15" thickBot="1" x14ac:dyDescent="0.4">
      <c r="A51" s="13">
        <v>50</v>
      </c>
      <c r="B51" s="2">
        <v>25</v>
      </c>
      <c r="C51" s="2">
        <v>2</v>
      </c>
      <c r="D51" s="2">
        <v>4</v>
      </c>
      <c r="E51" s="2">
        <v>12</v>
      </c>
      <c r="F51" s="7">
        <f>(SUM((Table1[[#This Row],[Complexity (Cols)]]+(2*Table1[[#This Row],[Tables Extracted]]))/Table1[[#This Row],[Total Executes2]]))</f>
        <v>0.83333333333333337</v>
      </c>
      <c r="G51" t="str">
        <f t="shared" si="0"/>
        <v>few cols</v>
      </c>
      <c r="H51" t="str">
        <f t="shared" si="1"/>
        <v>few tables</v>
      </c>
      <c r="I51" t="str">
        <f t="shared" si="2"/>
        <v>few cols,few tables</v>
      </c>
      <c r="J51" s="2">
        <v>12</v>
      </c>
      <c r="K51" s="4">
        <f>(SUM(Table1[[#This Row],[Total Executes2]]/Table1[[#This Row],[Total Steps]]))</f>
        <v>0.48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2D18-6B19-4B47-850D-127CE7D97DF1}">
  <dimension ref="A3:E23"/>
  <sheetViews>
    <sheetView workbookViewId="0">
      <selection activeCell="E29" sqref="E29"/>
    </sheetView>
  </sheetViews>
  <sheetFormatPr defaultRowHeight="14.5" x14ac:dyDescent="0.35"/>
  <cols>
    <col min="1" max="1" width="12.453125" bestFit="1" customWidth="1"/>
    <col min="2" max="2" width="23.7265625" bestFit="1" customWidth="1"/>
    <col min="3" max="3" width="22.1796875" bestFit="1" customWidth="1"/>
    <col min="4" max="4" width="22" bestFit="1" customWidth="1"/>
    <col min="5" max="5" width="23.453125" bestFit="1" customWidth="1"/>
    <col min="6" max="9" width="15.6328125" bestFit="1" customWidth="1"/>
    <col min="10" max="10" width="10.36328125" bestFit="1" customWidth="1"/>
    <col min="11" max="18" width="22.1796875" bestFit="1" customWidth="1"/>
    <col min="19" max="19" width="24.90625" bestFit="1" customWidth="1"/>
    <col min="20" max="20" width="26.7265625" bestFit="1" customWidth="1"/>
  </cols>
  <sheetData>
    <row r="3" spans="1:5" x14ac:dyDescent="0.35">
      <c r="A3" s="10" t="s">
        <v>9</v>
      </c>
      <c r="B3" t="s">
        <v>29</v>
      </c>
      <c r="C3" t="s">
        <v>11</v>
      </c>
      <c r="D3" t="s">
        <v>28</v>
      </c>
      <c r="E3" t="s">
        <v>27</v>
      </c>
    </row>
    <row r="4" spans="1:5" x14ac:dyDescent="0.35">
      <c r="A4" s="11">
        <v>0.8</v>
      </c>
      <c r="B4">
        <v>3</v>
      </c>
      <c r="C4">
        <v>4</v>
      </c>
      <c r="D4">
        <v>10</v>
      </c>
      <c r="E4" s="3">
        <v>0.90909090909090906</v>
      </c>
    </row>
    <row r="5" spans="1:5" x14ac:dyDescent="0.35">
      <c r="A5" s="11">
        <v>0.83333333333333337</v>
      </c>
      <c r="B5">
        <v>4</v>
      </c>
      <c r="C5">
        <v>8</v>
      </c>
      <c r="D5">
        <v>12</v>
      </c>
      <c r="E5" s="3">
        <v>1.92</v>
      </c>
    </row>
    <row r="6" spans="1:5" x14ac:dyDescent="0.35">
      <c r="A6" s="11">
        <v>0.8571428571428571</v>
      </c>
      <c r="B6">
        <v>8</v>
      </c>
      <c r="C6">
        <v>2</v>
      </c>
      <c r="D6">
        <v>21</v>
      </c>
      <c r="E6" s="3">
        <v>0.46666666666666667</v>
      </c>
    </row>
    <row r="7" spans="1:5" x14ac:dyDescent="0.35">
      <c r="A7" s="11">
        <v>0.88888888888888884</v>
      </c>
      <c r="B7">
        <v>3</v>
      </c>
      <c r="C7">
        <v>2</v>
      </c>
      <c r="D7">
        <v>9</v>
      </c>
      <c r="E7" s="3">
        <v>0.45</v>
      </c>
    </row>
    <row r="8" spans="1:5" x14ac:dyDescent="0.35">
      <c r="A8" s="11">
        <v>0.90909090909090906</v>
      </c>
      <c r="B8">
        <v>9</v>
      </c>
      <c r="C8">
        <v>12</v>
      </c>
      <c r="D8">
        <v>22</v>
      </c>
      <c r="E8" s="3">
        <v>2.64</v>
      </c>
    </row>
    <row r="9" spans="1:5" x14ac:dyDescent="0.35">
      <c r="A9" s="11">
        <v>0.92307692307692313</v>
      </c>
      <c r="B9">
        <v>4</v>
      </c>
      <c r="C9">
        <v>4</v>
      </c>
      <c r="D9">
        <v>13</v>
      </c>
      <c r="E9" s="3">
        <v>0.4642857142857143</v>
      </c>
    </row>
    <row r="10" spans="1:5" x14ac:dyDescent="0.35">
      <c r="A10" s="11">
        <v>0.9375</v>
      </c>
      <c r="B10">
        <v>6</v>
      </c>
      <c r="C10">
        <v>9</v>
      </c>
      <c r="D10">
        <v>16</v>
      </c>
      <c r="E10" s="3">
        <v>1.2972972972972974</v>
      </c>
    </row>
    <row r="11" spans="1:5" x14ac:dyDescent="0.35">
      <c r="A11" s="11">
        <v>0.94117647058823528</v>
      </c>
      <c r="B11">
        <v>6</v>
      </c>
      <c r="C11">
        <v>4</v>
      </c>
      <c r="D11">
        <v>17</v>
      </c>
      <c r="E11" s="3">
        <v>0.4358974358974359</v>
      </c>
    </row>
    <row r="12" spans="1:5" x14ac:dyDescent="0.35">
      <c r="A12" s="11">
        <v>0.95</v>
      </c>
      <c r="B12">
        <v>8</v>
      </c>
      <c r="C12">
        <v>6</v>
      </c>
      <c r="D12">
        <v>20</v>
      </c>
      <c r="E12" s="3">
        <v>0.85106382978723405</v>
      </c>
    </row>
    <row r="13" spans="1:5" x14ac:dyDescent="0.35">
      <c r="A13" s="11">
        <v>0.95652173913043481</v>
      </c>
      <c r="B13">
        <v>9</v>
      </c>
      <c r="C13">
        <v>8</v>
      </c>
      <c r="D13">
        <v>23</v>
      </c>
      <c r="E13" s="3">
        <v>0.86792452830188682</v>
      </c>
    </row>
    <row r="14" spans="1:5" x14ac:dyDescent="0.35">
      <c r="A14" s="11">
        <v>1</v>
      </c>
      <c r="B14">
        <v>6.8571428571428568</v>
      </c>
      <c r="C14">
        <v>46</v>
      </c>
      <c r="D14">
        <v>20.285714285714285</v>
      </c>
      <c r="E14" s="3">
        <v>3.0061909117143917</v>
      </c>
    </row>
    <row r="15" spans="1:5" x14ac:dyDescent="0.35">
      <c r="A15" s="11">
        <v>1.0833333333333333</v>
      </c>
      <c r="B15">
        <v>4</v>
      </c>
      <c r="C15">
        <v>15</v>
      </c>
      <c r="D15">
        <v>12</v>
      </c>
      <c r="E15" s="3">
        <v>1.2000000000000002</v>
      </c>
    </row>
    <row r="16" spans="1:5" x14ac:dyDescent="0.35">
      <c r="A16" s="11">
        <v>1.125</v>
      </c>
      <c r="B16">
        <v>9</v>
      </c>
      <c r="C16">
        <v>18</v>
      </c>
      <c r="D16">
        <v>24</v>
      </c>
      <c r="E16" s="3">
        <v>0.76190476190476186</v>
      </c>
    </row>
    <row r="17" spans="1:5" x14ac:dyDescent="0.35">
      <c r="A17" s="11">
        <v>1.1666666666666667</v>
      </c>
      <c r="B17">
        <v>7</v>
      </c>
      <c r="C17">
        <v>21</v>
      </c>
      <c r="D17">
        <v>18</v>
      </c>
      <c r="E17" s="3">
        <v>1.1020408163265307</v>
      </c>
    </row>
    <row r="18" spans="1:5" x14ac:dyDescent="0.35">
      <c r="A18" s="11">
        <v>1.2142857142857142</v>
      </c>
      <c r="B18">
        <v>5</v>
      </c>
      <c r="C18">
        <v>14</v>
      </c>
      <c r="D18">
        <v>14</v>
      </c>
      <c r="E18" s="3">
        <v>0.71794871794871795</v>
      </c>
    </row>
    <row r="19" spans="1:5" x14ac:dyDescent="0.35">
      <c r="A19" s="11">
        <v>1.2272727272727273</v>
      </c>
      <c r="B19">
        <v>8</v>
      </c>
      <c r="C19">
        <v>33</v>
      </c>
      <c r="D19">
        <v>22</v>
      </c>
      <c r="E19" s="3">
        <v>1.064516129032258</v>
      </c>
    </row>
    <row r="20" spans="1:5" x14ac:dyDescent="0.35">
      <c r="A20" s="11">
        <v>1.3076923076923077</v>
      </c>
      <c r="B20">
        <v>9</v>
      </c>
      <c r="C20">
        <v>48</v>
      </c>
      <c r="D20">
        <v>26</v>
      </c>
      <c r="E20" s="3">
        <v>1.0129870129870131</v>
      </c>
    </row>
    <row r="21" spans="1:5" x14ac:dyDescent="0.35">
      <c r="A21" s="11">
        <v>1.5333333333333334</v>
      </c>
      <c r="B21">
        <v>4</v>
      </c>
      <c r="C21">
        <v>15</v>
      </c>
      <c r="D21">
        <v>15</v>
      </c>
      <c r="E21" s="3">
        <v>0.29411764705882354</v>
      </c>
    </row>
    <row r="22" spans="1:5" x14ac:dyDescent="0.35">
      <c r="A22" s="11">
        <v>1.9285714285714286</v>
      </c>
      <c r="B22">
        <v>2</v>
      </c>
      <c r="C22">
        <v>69</v>
      </c>
      <c r="D22">
        <v>14</v>
      </c>
      <c r="E22" s="3">
        <v>0.74137931034482762</v>
      </c>
    </row>
    <row r="23" spans="1:5" x14ac:dyDescent="0.35">
      <c r="A23" s="11" t="s">
        <v>10</v>
      </c>
      <c r="B23">
        <v>6.38</v>
      </c>
      <c r="C23">
        <v>338</v>
      </c>
      <c r="D23">
        <v>18.059999999999999</v>
      </c>
      <c r="E23" s="3">
        <v>20.203311688644472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268E-19D1-45C9-AF28-857FBB45901D}">
  <dimension ref="A1:M26"/>
  <sheetViews>
    <sheetView zoomScale="115" zoomScaleNormal="115" workbookViewId="0">
      <selection activeCell="K18" sqref="K18"/>
    </sheetView>
  </sheetViews>
  <sheetFormatPr defaultRowHeight="14.5" x14ac:dyDescent="0.35"/>
  <cols>
    <col min="1" max="1" width="8.26953125" bestFit="1" customWidth="1"/>
    <col min="2" max="2" width="22.1796875" bestFit="1" customWidth="1"/>
    <col min="3" max="3" width="8" bestFit="1" customWidth="1"/>
    <col min="4" max="4" width="22.90625" bestFit="1" customWidth="1"/>
    <col min="5" max="5" width="21.54296875" bestFit="1" customWidth="1"/>
    <col min="6" max="6" width="21.08984375" bestFit="1" customWidth="1"/>
    <col min="7" max="7" width="18.7265625" customWidth="1"/>
    <col min="8" max="8" width="17.26953125" bestFit="1" customWidth="1"/>
    <col min="9" max="9" width="21.6328125" bestFit="1" customWidth="1"/>
    <col min="10" max="10" width="16.6328125" bestFit="1" customWidth="1"/>
    <col min="11" max="11" width="18.08984375" customWidth="1"/>
    <col min="12" max="12" width="11.36328125" customWidth="1"/>
    <col min="13" max="13" width="12.6328125" customWidth="1"/>
  </cols>
  <sheetData>
    <row r="1" spans="1:13" s="5" customFormat="1" ht="29" x14ac:dyDescent="0.35">
      <c r="A1" s="5" t="s">
        <v>32</v>
      </c>
      <c r="B1" s="5" t="s">
        <v>35</v>
      </c>
      <c r="C1" s="5" t="s">
        <v>33</v>
      </c>
      <c r="D1" s="5" t="s">
        <v>56</v>
      </c>
      <c r="E1" s="5" t="s">
        <v>37</v>
      </c>
      <c r="F1" s="5" t="s">
        <v>39</v>
      </c>
      <c r="G1" s="5" t="s">
        <v>57</v>
      </c>
      <c r="H1" s="5" t="s">
        <v>43</v>
      </c>
      <c r="I1" s="5" t="s">
        <v>40</v>
      </c>
      <c r="J1" s="5" t="s">
        <v>44</v>
      </c>
      <c r="K1" s="5" t="s">
        <v>45</v>
      </c>
      <c r="L1" s="5" t="s">
        <v>46</v>
      </c>
      <c r="M1" s="5" t="s">
        <v>47</v>
      </c>
    </row>
    <row r="2" spans="1:13" x14ac:dyDescent="0.35">
      <c r="A2" t="s">
        <v>36</v>
      </c>
      <c r="B2" t="s">
        <v>38</v>
      </c>
      <c r="C2" t="s">
        <v>34</v>
      </c>
      <c r="D2">
        <v>481</v>
      </c>
      <c r="E2">
        <v>50</v>
      </c>
      <c r="F2">
        <v>31</v>
      </c>
      <c r="G2">
        <v>56</v>
      </c>
      <c r="H2">
        <v>17</v>
      </c>
      <c r="I2">
        <v>7</v>
      </c>
      <c r="J2" s="9">
        <f>SUM(Table3[[#This Row],[sqlmap total requests]]/Table3[[#This Row],[TORJE Total Req]])</f>
        <v>2.9411764705882355</v>
      </c>
      <c r="K2" s="9">
        <f>SUM(Table3[[#This Row],[sqlmap first data]]/Table3[[#This Row],[TORJE first data]])</f>
        <v>4.4285714285714288</v>
      </c>
      <c r="L2" s="3">
        <f>1-(Table3[[#This Row],[TORJE Total Req]]/Table3[[#This Row],[sqlmap total requests]])</f>
        <v>0.65999999999999992</v>
      </c>
      <c r="M2" s="3">
        <f>1-(Table3[[#This Row],[TORJE first data]]/Table3[[#This Row],[sqlmap first data]])</f>
        <v>0.77419354838709675</v>
      </c>
    </row>
    <row r="3" spans="1:13" x14ac:dyDescent="0.35">
      <c r="A3" t="s">
        <v>36</v>
      </c>
      <c r="B3" t="s">
        <v>41</v>
      </c>
      <c r="C3" t="s">
        <v>42</v>
      </c>
      <c r="D3">
        <v>361</v>
      </c>
      <c r="E3">
        <v>36</v>
      </c>
      <c r="F3">
        <v>28</v>
      </c>
      <c r="G3">
        <v>79</v>
      </c>
      <c r="H3">
        <v>14</v>
      </c>
      <c r="I3">
        <v>6</v>
      </c>
      <c r="J3" s="9">
        <f>SUM(Table3[[#This Row],[sqlmap total requests]]/Table3[[#This Row],[TORJE Total Req]])</f>
        <v>2.5714285714285716</v>
      </c>
      <c r="K3" s="9">
        <f>SUM(Table3[[#This Row],[sqlmap first data]]/Table3[[#This Row],[TORJE first data]])</f>
        <v>4.666666666666667</v>
      </c>
      <c r="L3" s="3">
        <f>1-(Table3[[#This Row],[TORJE Total Req]]/Table3[[#This Row],[sqlmap total requests]])</f>
        <v>0.61111111111111116</v>
      </c>
      <c r="M3" s="3">
        <f>1-(Table3[[#This Row],[TORJE first data]]/Table3[[#This Row],[sqlmap first data]])</f>
        <v>0.7857142857142857</v>
      </c>
    </row>
    <row r="4" spans="1:13" x14ac:dyDescent="0.35">
      <c r="A4" t="s">
        <v>36</v>
      </c>
      <c r="B4" t="s">
        <v>54</v>
      </c>
      <c r="C4" t="s">
        <v>42</v>
      </c>
      <c r="D4">
        <v>746</v>
      </c>
      <c r="E4">
        <v>81</v>
      </c>
      <c r="F4">
        <v>30</v>
      </c>
      <c r="G4">
        <v>453</v>
      </c>
      <c r="H4">
        <v>80</v>
      </c>
      <c r="I4">
        <v>26</v>
      </c>
      <c r="J4" s="9">
        <f>SUM(Table3[[#This Row],[sqlmap total requests]]/Table3[[#This Row],[TORJE Total Req]])</f>
        <v>1.0125</v>
      </c>
      <c r="K4" s="9">
        <f>SUM(Table3[[#This Row],[sqlmap first data]]/Table3[[#This Row],[TORJE first data]])</f>
        <v>1.1538461538461537</v>
      </c>
      <c r="L4" s="3">
        <f>1-(Table3[[#This Row],[TORJE Total Req]]/Table3[[#This Row],[sqlmap total requests]])</f>
        <v>1.2345679012345734E-2</v>
      </c>
      <c r="M4" s="3">
        <f>1-(Table3[[#This Row],[TORJE first data]]/Table3[[#This Row],[sqlmap first data]])</f>
        <v>0.1333333333333333</v>
      </c>
    </row>
    <row r="5" spans="1:13" x14ac:dyDescent="0.35">
      <c r="A5" t="s">
        <v>36</v>
      </c>
      <c r="B5" t="s">
        <v>55</v>
      </c>
      <c r="C5" t="s">
        <v>34</v>
      </c>
      <c r="D5">
        <v>1912</v>
      </c>
      <c r="E5">
        <v>188</v>
      </c>
      <c r="F5">
        <v>155</v>
      </c>
      <c r="G5">
        <v>56</v>
      </c>
      <c r="H5">
        <v>17</v>
      </c>
      <c r="I5">
        <v>7</v>
      </c>
      <c r="J5" s="9">
        <f>SUM(Table3[[#This Row],[sqlmap total requests]]/Table3[[#This Row],[TORJE Total Req]])</f>
        <v>11.058823529411764</v>
      </c>
      <c r="K5" s="9">
        <f>SUM(Table3[[#This Row],[sqlmap first data]]/Table3[[#This Row],[TORJE first data]])</f>
        <v>22.142857142857142</v>
      </c>
      <c r="L5" s="3">
        <f>1-(Table3[[#This Row],[TORJE Total Req]]/Table3[[#This Row],[sqlmap total requests]])</f>
        <v>0.90957446808510634</v>
      </c>
      <c r="M5" s="3">
        <f>1-(Table3[[#This Row],[TORJE first data]]/Table3[[#This Row],[sqlmap first data]])</f>
        <v>0.95483870967741935</v>
      </c>
    </row>
    <row r="6" spans="1:13" x14ac:dyDescent="0.35">
      <c r="A6" t="s">
        <v>36</v>
      </c>
      <c r="B6" t="s">
        <v>58</v>
      </c>
      <c r="C6" t="s">
        <v>42</v>
      </c>
      <c r="D6">
        <v>569</v>
      </c>
      <c r="E6">
        <v>54</v>
      </c>
      <c r="F6">
        <v>44</v>
      </c>
      <c r="G6">
        <v>79</v>
      </c>
      <c r="H6">
        <v>14</v>
      </c>
      <c r="I6">
        <v>6</v>
      </c>
      <c r="J6" s="9">
        <f>SUM(Table3[[#This Row],[sqlmap total requests]]/Table3[[#This Row],[TORJE Total Req]])</f>
        <v>3.8571428571428572</v>
      </c>
      <c r="K6" s="9">
        <f>SUM(Table3[[#This Row],[sqlmap first data]]/Table3[[#This Row],[TORJE first data]])</f>
        <v>7.333333333333333</v>
      </c>
      <c r="L6" s="3">
        <f>1-(Table3[[#This Row],[TORJE Total Req]]/Table3[[#This Row],[sqlmap total requests]])</f>
        <v>0.7407407407407407</v>
      </c>
      <c r="M6" s="3">
        <f>1-(Table3[[#This Row],[TORJE first data]]/Table3[[#This Row],[sqlmap first data]])</f>
        <v>0.86363636363636365</v>
      </c>
    </row>
    <row r="9" spans="1:13" x14ac:dyDescent="0.35">
      <c r="E9" t="s">
        <v>50</v>
      </c>
      <c r="F9" t="s">
        <v>51</v>
      </c>
      <c r="H9" t="s">
        <v>52</v>
      </c>
      <c r="I9" t="s">
        <v>92</v>
      </c>
      <c r="K9" t="s">
        <v>91</v>
      </c>
      <c r="L9" t="s">
        <v>92</v>
      </c>
    </row>
    <row r="10" spans="1:13" x14ac:dyDescent="0.35">
      <c r="D10" t="s">
        <v>48</v>
      </c>
      <c r="E10">
        <v>6</v>
      </c>
      <c r="F10">
        <v>4</v>
      </c>
      <c r="H10" s="9">
        <f>(E2/(E10+(2*F10)))</f>
        <v>3.5714285714285716</v>
      </c>
      <c r="I10" s="9">
        <f>(H2/(E10+(2*F10)))</f>
        <v>1.2142857142857142</v>
      </c>
      <c r="J10">
        <f>H10/I10</f>
        <v>2.9411764705882355</v>
      </c>
      <c r="K10" s="9">
        <f>(E2/(F10))</f>
        <v>12.5</v>
      </c>
      <c r="L10" s="9">
        <f>(H2/(F10))</f>
        <v>4.25</v>
      </c>
      <c r="M10">
        <f>K10/L10</f>
        <v>2.9411764705882355</v>
      </c>
    </row>
    <row r="11" spans="1:13" x14ac:dyDescent="0.35">
      <c r="D11" t="s">
        <v>49</v>
      </c>
      <c r="E11">
        <v>7</v>
      </c>
      <c r="F11">
        <v>5</v>
      </c>
      <c r="H11" s="9">
        <f t="shared" ref="H11:H14" si="0">(E3/(E11+(2*F11)))</f>
        <v>2.1176470588235294</v>
      </c>
      <c r="I11" s="9">
        <f t="shared" ref="I11:I14" si="1">(H3/(E11+(2*F11)))</f>
        <v>0.82352941176470584</v>
      </c>
      <c r="J11">
        <f t="shared" ref="J11:J14" si="2">H11/I11</f>
        <v>2.5714285714285716</v>
      </c>
      <c r="K11" s="9">
        <f t="shared" ref="K11:K14" si="3">(E3/(F11))</f>
        <v>7.2</v>
      </c>
      <c r="L11" s="9">
        <f t="shared" ref="L11:L14" si="4">(H3/(F11))</f>
        <v>2.8</v>
      </c>
      <c r="M11">
        <f t="shared" ref="M11:M14" si="5">K11/L11</f>
        <v>2.5714285714285716</v>
      </c>
    </row>
    <row r="12" spans="1:13" x14ac:dyDescent="0.35">
      <c r="D12" t="s">
        <v>53</v>
      </c>
      <c r="E12">
        <v>27</v>
      </c>
      <c r="F12">
        <v>26</v>
      </c>
      <c r="H12" s="9">
        <f t="shared" si="0"/>
        <v>1.0253164556962024</v>
      </c>
      <c r="I12" s="9">
        <f t="shared" si="1"/>
        <v>1.0126582278481013</v>
      </c>
      <c r="J12">
        <f t="shared" si="2"/>
        <v>1.0125</v>
      </c>
      <c r="K12" s="9">
        <f t="shared" si="3"/>
        <v>3.1153846153846154</v>
      </c>
      <c r="L12" s="9">
        <f t="shared" si="4"/>
        <v>3.0769230769230771</v>
      </c>
      <c r="M12">
        <f t="shared" si="5"/>
        <v>1.0125</v>
      </c>
    </row>
    <row r="13" spans="1:13" x14ac:dyDescent="0.35">
      <c r="D13" t="s">
        <v>88</v>
      </c>
      <c r="E13">
        <v>6</v>
      </c>
      <c r="F13">
        <v>4</v>
      </c>
      <c r="H13" s="9">
        <f t="shared" si="0"/>
        <v>13.428571428571429</v>
      </c>
      <c r="I13" s="9">
        <f t="shared" si="1"/>
        <v>1.2142857142857142</v>
      </c>
      <c r="J13">
        <f t="shared" si="2"/>
        <v>11.058823529411766</v>
      </c>
      <c r="K13" s="9">
        <f>(E5/(F13))</f>
        <v>47</v>
      </c>
      <c r="L13" s="9">
        <f t="shared" si="4"/>
        <v>4.25</v>
      </c>
      <c r="M13">
        <f t="shared" si="5"/>
        <v>11.058823529411764</v>
      </c>
    </row>
    <row r="14" spans="1:13" x14ac:dyDescent="0.35">
      <c r="D14" t="s">
        <v>89</v>
      </c>
      <c r="E14">
        <v>7</v>
      </c>
      <c r="F14">
        <v>5</v>
      </c>
      <c r="H14" s="9">
        <f t="shared" si="0"/>
        <v>3.1764705882352939</v>
      </c>
      <c r="I14" s="9">
        <f t="shared" si="1"/>
        <v>0.82352941176470584</v>
      </c>
      <c r="J14">
        <f t="shared" si="2"/>
        <v>3.8571428571428572</v>
      </c>
      <c r="K14" s="9">
        <f t="shared" si="3"/>
        <v>10.8</v>
      </c>
      <c r="L14" s="9">
        <f t="shared" si="4"/>
        <v>2.8</v>
      </c>
      <c r="M14">
        <f t="shared" si="5"/>
        <v>3.8571428571428577</v>
      </c>
    </row>
    <row r="15" spans="1:13" x14ac:dyDescent="0.35">
      <c r="I15" s="9"/>
    </row>
    <row r="19" spans="6:9" x14ac:dyDescent="0.35">
      <c r="F19" s="22" t="s">
        <v>38</v>
      </c>
      <c r="G19">
        <f>D2/G2</f>
        <v>8.5892857142857135</v>
      </c>
      <c r="I19" s="3">
        <f>1-(G2/D2)</f>
        <v>0.88357588357588357</v>
      </c>
    </row>
    <row r="20" spans="6:9" x14ac:dyDescent="0.35">
      <c r="F20" s="23" t="s">
        <v>41</v>
      </c>
      <c r="G20">
        <f t="shared" ref="G20:G23" si="6">D3/G3</f>
        <v>4.5696202531645573</v>
      </c>
      <c r="I20" s="3">
        <f t="shared" ref="I20:I23" si="7">1-(G3/D3)</f>
        <v>0.78116343490304707</v>
      </c>
    </row>
    <row r="21" spans="6:9" x14ac:dyDescent="0.35">
      <c r="F21" s="22" t="s">
        <v>54</v>
      </c>
      <c r="G21">
        <f t="shared" si="6"/>
        <v>1.6467991169977925</v>
      </c>
      <c r="I21" s="3">
        <f t="shared" si="7"/>
        <v>0.39276139410187672</v>
      </c>
    </row>
    <row r="22" spans="6:9" x14ac:dyDescent="0.35">
      <c r="F22" s="23" t="s">
        <v>55</v>
      </c>
      <c r="G22">
        <f t="shared" si="6"/>
        <v>34.142857142857146</v>
      </c>
      <c r="I22" s="3">
        <f t="shared" si="7"/>
        <v>0.97071129707112969</v>
      </c>
    </row>
    <row r="23" spans="6:9" x14ac:dyDescent="0.35">
      <c r="F23" s="22" t="s">
        <v>58</v>
      </c>
      <c r="G23">
        <f t="shared" si="6"/>
        <v>7.2025316455696204</v>
      </c>
      <c r="I23" s="3">
        <f t="shared" si="7"/>
        <v>0.86115992970123023</v>
      </c>
    </row>
    <row r="26" spans="6:9" x14ac:dyDescent="0.35">
      <c r="G26">
        <f>AVERAGE(G19,G20,G22,G23)</f>
        <v>13.62607368896926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7B8D-9743-4279-B917-E1BA886F1AB3}">
  <dimension ref="A1:G27"/>
  <sheetViews>
    <sheetView workbookViewId="0">
      <selection activeCell="O24" sqref="O24"/>
    </sheetView>
  </sheetViews>
  <sheetFormatPr defaultRowHeight="14.5" x14ac:dyDescent="0.35"/>
  <cols>
    <col min="1" max="1" width="20" bestFit="1" customWidth="1"/>
  </cols>
  <sheetData>
    <row r="1" spans="1:7" x14ac:dyDescent="0.35">
      <c r="A1" t="s">
        <v>59</v>
      </c>
      <c r="B1" t="s">
        <v>60</v>
      </c>
    </row>
    <row r="2" spans="1:7" x14ac:dyDescent="0.35">
      <c r="A2" t="s">
        <v>61</v>
      </c>
      <c r="B2">
        <v>347</v>
      </c>
    </row>
    <row r="3" spans="1:7" x14ac:dyDescent="0.35">
      <c r="A3" t="s">
        <v>62</v>
      </c>
      <c r="B3">
        <v>275</v>
      </c>
    </row>
    <row r="4" spans="1:7" x14ac:dyDescent="0.35">
      <c r="A4" t="s">
        <v>63</v>
      </c>
      <c r="B4">
        <v>59</v>
      </c>
    </row>
    <row r="5" spans="1:7" x14ac:dyDescent="0.35">
      <c r="A5" t="s">
        <v>64</v>
      </c>
      <c r="B5">
        <v>8</v>
      </c>
    </row>
    <row r="6" spans="1:7" x14ac:dyDescent="0.35">
      <c r="A6" t="s">
        <v>65</v>
      </c>
      <c r="B6">
        <v>1</v>
      </c>
    </row>
    <row r="7" spans="1:7" x14ac:dyDescent="0.35">
      <c r="A7" t="s">
        <v>66</v>
      </c>
      <c r="B7">
        <v>25</v>
      </c>
    </row>
    <row r="8" spans="1:7" x14ac:dyDescent="0.35">
      <c r="A8" t="s">
        <v>67</v>
      </c>
      <c r="B8">
        <v>412</v>
      </c>
      <c r="F8" t="s">
        <v>87</v>
      </c>
      <c r="G8">
        <f>SUM(Table4[Rows])</f>
        <v>16702</v>
      </c>
    </row>
    <row r="9" spans="1:7" x14ac:dyDescent="0.35">
      <c r="A9" t="s">
        <v>68</v>
      </c>
      <c r="B9">
        <v>2240</v>
      </c>
    </row>
    <row r="10" spans="1:7" x14ac:dyDescent="0.35">
      <c r="A10" t="s">
        <v>69</v>
      </c>
      <c r="B10">
        <v>5</v>
      </c>
    </row>
    <row r="11" spans="1:7" x14ac:dyDescent="0.35">
      <c r="A11" t="s">
        <v>70</v>
      </c>
      <c r="B11">
        <v>18</v>
      </c>
    </row>
    <row r="12" spans="1:7" x14ac:dyDescent="0.35">
      <c r="A12" t="s">
        <v>71</v>
      </c>
      <c r="B12">
        <v>8715</v>
      </c>
    </row>
    <row r="13" spans="1:7" x14ac:dyDescent="0.35">
      <c r="A13" t="s">
        <v>72</v>
      </c>
      <c r="B13">
        <v>3503</v>
      </c>
    </row>
    <row r="14" spans="1:7" x14ac:dyDescent="0.35">
      <c r="A14" t="s">
        <v>73</v>
      </c>
      <c r="B14">
        <v>1</v>
      </c>
    </row>
    <row r="15" spans="1:7" x14ac:dyDescent="0.35">
      <c r="A15" t="s">
        <v>74</v>
      </c>
      <c r="B15">
        <v>35</v>
      </c>
    </row>
    <row r="16" spans="1:7" x14ac:dyDescent="0.35">
      <c r="A16" t="s">
        <v>75</v>
      </c>
      <c r="B16">
        <v>37</v>
      </c>
    </row>
    <row r="17" spans="1:2" x14ac:dyDescent="0.35">
      <c r="A17" t="s">
        <v>76</v>
      </c>
      <c r="B17">
        <v>6</v>
      </c>
    </row>
    <row r="18" spans="1:2" x14ac:dyDescent="0.35">
      <c r="A18" t="s">
        <v>77</v>
      </c>
      <c r="B18">
        <v>665</v>
      </c>
    </row>
    <row r="19" spans="1:2" x14ac:dyDescent="0.35">
      <c r="A19" t="s">
        <v>78</v>
      </c>
      <c r="B19">
        <v>9</v>
      </c>
    </row>
    <row r="20" spans="1:2" x14ac:dyDescent="0.35">
      <c r="A20" t="s">
        <v>79</v>
      </c>
      <c r="B20">
        <v>40</v>
      </c>
    </row>
    <row r="21" spans="1:2" x14ac:dyDescent="0.35">
      <c r="A21" t="s">
        <v>80</v>
      </c>
      <c r="B21">
        <v>3</v>
      </c>
    </row>
    <row r="22" spans="1:2" x14ac:dyDescent="0.35">
      <c r="A22" t="s">
        <v>81</v>
      </c>
      <c r="B22">
        <v>3</v>
      </c>
    </row>
    <row r="23" spans="1:2" x14ac:dyDescent="0.35">
      <c r="A23" t="s">
        <v>82</v>
      </c>
      <c r="B23">
        <v>31</v>
      </c>
    </row>
    <row r="24" spans="1:2" x14ac:dyDescent="0.35">
      <c r="A24" t="s">
        <v>83</v>
      </c>
      <c r="B24">
        <v>225</v>
      </c>
    </row>
    <row r="25" spans="1:2" x14ac:dyDescent="0.35">
      <c r="A25" t="s">
        <v>84</v>
      </c>
      <c r="B25">
        <v>2</v>
      </c>
    </row>
    <row r="26" spans="1:2" x14ac:dyDescent="0.35">
      <c r="A26" t="s">
        <v>85</v>
      </c>
      <c r="B26">
        <v>11</v>
      </c>
    </row>
    <row r="27" spans="1:2" x14ac:dyDescent="0.35">
      <c r="A27" t="s">
        <v>86</v>
      </c>
      <c r="B27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Eval_Stage</vt:lpstr>
      <vt:lpstr>Sheet5</vt:lpstr>
      <vt:lpstr>RSE group agent</vt:lpstr>
      <vt:lpstr>Sheet3</vt:lpstr>
      <vt:lpstr>Final_metrics</vt:lpstr>
      <vt:lpstr>total_rows 11_2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Vaagland</dc:creator>
  <cp:lastModifiedBy>Michael Vaagland</cp:lastModifiedBy>
  <dcterms:created xsi:type="dcterms:W3CDTF">2026-02-16T09:56:32Z</dcterms:created>
  <dcterms:modified xsi:type="dcterms:W3CDTF">2026-03-09T22:02:08Z</dcterms:modified>
</cp:coreProperties>
</file>